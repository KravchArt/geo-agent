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ilanaganieva/Desktop/GEO agent/"/>
    </mc:Choice>
  </mc:AlternateContent>
  <xr:revisionPtr revIDLastSave="0" documentId="13_ncr:1_{8B6950C9-28D0-5948-A83B-1293FAB290E3}" xr6:coauthVersionLast="47" xr6:coauthVersionMax="47" xr10:uidLastSave="{00000000-0000-0000-0000-000000000000}"/>
  <bookViews>
    <workbookView xWindow="0" yWindow="740" windowWidth="30240" windowHeight="18900" activeTab="3" xr2:uid="{00000000-000D-0000-FFFF-FFFF00000000}"/>
  </bookViews>
  <sheets>
    <sheet name="Eval Dataset" sheetId="1" r:id="rId1"/>
    <sheet name="Results" sheetId="2" r:id="rId2"/>
    <sheet name="Pairwise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4" l="1"/>
  <c r="M17" i="4"/>
  <c r="M18" i="4"/>
  <c r="M19" i="4"/>
  <c r="M20" i="4"/>
  <c r="M21" i="4"/>
  <c r="M22" i="4"/>
  <c r="M15" i="4"/>
  <c r="D15" i="4"/>
  <c r="D16" i="4"/>
  <c r="D17" i="4"/>
  <c r="D18" i="4"/>
  <c r="D19" i="4"/>
  <c r="D20" i="4"/>
  <c r="D21" i="4"/>
  <c r="D22" i="4"/>
  <c r="F28" i="4"/>
  <c r="E28" i="4"/>
  <c r="B28" i="4"/>
  <c r="F27" i="4"/>
  <c r="E27" i="4"/>
  <c r="B27" i="4"/>
  <c r="J22" i="4"/>
  <c r="K22" i="4" s="1"/>
  <c r="I22" i="4"/>
  <c r="H22" i="4"/>
  <c r="G22" i="4"/>
  <c r="F22" i="4"/>
  <c r="E22" i="4"/>
  <c r="K21" i="4"/>
  <c r="J21" i="4"/>
  <c r="I21" i="4"/>
  <c r="H21" i="4"/>
  <c r="G21" i="4"/>
  <c r="F21" i="4"/>
  <c r="E21" i="4"/>
  <c r="B21" i="4"/>
  <c r="J20" i="4"/>
  <c r="K20" i="4" s="1"/>
  <c r="I20" i="4"/>
  <c r="H20" i="4"/>
  <c r="G20" i="4"/>
  <c r="F20" i="4"/>
  <c r="E20" i="4"/>
  <c r="B20" i="4"/>
  <c r="J19" i="4"/>
  <c r="K19" i="4" s="1"/>
  <c r="I19" i="4"/>
  <c r="H19" i="4"/>
  <c r="G19" i="4"/>
  <c r="F19" i="4"/>
  <c r="E19" i="4"/>
  <c r="B19" i="4"/>
  <c r="J18" i="4"/>
  <c r="K18" i="4" s="1"/>
  <c r="I18" i="4"/>
  <c r="H18" i="4"/>
  <c r="G18" i="4"/>
  <c r="F18" i="4"/>
  <c r="E18" i="4"/>
  <c r="B18" i="4"/>
  <c r="K17" i="4"/>
  <c r="J17" i="4"/>
  <c r="I17" i="4"/>
  <c r="H17" i="4"/>
  <c r="G17" i="4"/>
  <c r="F17" i="4"/>
  <c r="E17" i="4"/>
  <c r="B17" i="4"/>
  <c r="K16" i="4"/>
  <c r="J16" i="4"/>
  <c r="I16" i="4"/>
  <c r="H16" i="4"/>
  <c r="G16" i="4"/>
  <c r="F16" i="4"/>
  <c r="E16" i="4"/>
  <c r="B16" i="4"/>
  <c r="K15" i="4"/>
  <c r="J15" i="4"/>
  <c r="I15" i="4"/>
  <c r="H15" i="4"/>
  <c r="G15" i="4"/>
  <c r="F15" i="4"/>
  <c r="E15" i="4"/>
  <c r="B15" i="4"/>
  <c r="B22" i="4" s="1"/>
  <c r="B10" i="4"/>
  <c r="E9" i="4"/>
  <c r="E8" i="4"/>
  <c r="B8" i="4"/>
  <c r="E7" i="4"/>
  <c r="E6" i="4"/>
  <c r="E5" i="4"/>
  <c r="B5" i="4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D28" i="4" s="1"/>
  <c r="R8" i="2"/>
  <c r="R7" i="2"/>
  <c r="R6" i="2"/>
  <c r="R5" i="2"/>
  <c r="R4" i="2"/>
  <c r="R3" i="2"/>
  <c r="R2" i="2"/>
  <c r="D27" i="4" s="1"/>
  <c r="E10" i="4" l="1"/>
  <c r="B6" i="4"/>
  <c r="B9" i="4" s="1"/>
  <c r="C15" i="4"/>
  <c r="C16" i="4"/>
  <c r="C17" i="4"/>
  <c r="C18" i="4"/>
  <c r="C19" i="4"/>
  <c r="C20" i="4"/>
  <c r="C21" i="4"/>
  <c r="C27" i="4"/>
  <c r="B7" i="4"/>
  <c r="C28" i="4"/>
  <c r="C22" i="4" l="1"/>
</calcChain>
</file>

<file path=xl/sharedStrings.xml><?xml version="1.0" encoding="utf-8"?>
<sst xmlns="http://schemas.openxmlformats.org/spreadsheetml/2006/main" count="2301" uniqueCount="465">
  <si>
    <t>query_id</t>
  </si>
  <si>
    <t>language</t>
  </si>
  <si>
    <t>region</t>
  </si>
  <si>
    <t>city_country</t>
  </si>
  <si>
    <t>scenario</t>
  </si>
  <si>
    <t>user_query</t>
  </si>
  <si>
    <t>constraints</t>
  </si>
  <si>
    <t>must_have</t>
  </si>
  <si>
    <t>must_not_have</t>
  </si>
  <si>
    <t>en</t>
  </si>
  <si>
    <t>Europe</t>
  </si>
  <si>
    <t>Prague, Czechia</t>
  </si>
  <si>
    <t>Простой поиск мест</t>
  </si>
  <si>
    <t>Find cozy coffee shops in Prague Old Town.</t>
  </si>
  <si>
    <t>category: coffee shops; area: Old Town; atmosphere: cozy</t>
  </si>
  <si>
    <t>2–5 реальных мест нужной категории; правильный город/район; краткое объяснение релевантности; соблюдение указанных предпочтений.</t>
  </si>
  <si>
    <t>Несуществующие места; другая категория; места вне указанной локации; неподтвержденные конкретные факты.</t>
  </si>
  <si>
    <t>Berlin, Germany</t>
  </si>
  <si>
    <t>Recommend contemporary art museums in Berlin.</t>
  </si>
  <si>
    <t>category: contemporary art museums</t>
  </si>
  <si>
    <t>Lisbon, Portugal</t>
  </si>
  <si>
    <t>Find the best viewpoints in Lisbon for sunset.</t>
  </si>
  <si>
    <t>category: viewpoints; time: sunset</t>
  </si>
  <si>
    <t>Rome, Italy</t>
  </si>
  <si>
    <t>Suggest traditional trattorias in Trastevere.</t>
  </si>
  <si>
    <t>category: traditional trattorias; area: Trastevere</t>
  </si>
  <si>
    <t>Amsterdam, Netherlands</t>
  </si>
  <si>
    <t>Find quiet parks in Amsterdam for a relaxed afternoon.</t>
  </si>
  <si>
    <t>category: parks; atmosphere: quiet; time: afternoon</t>
  </si>
  <si>
    <t>Athens, Greece</t>
  </si>
  <si>
    <t>Recommend archaeological sites in central Athens.</t>
  </si>
  <si>
    <t>category: archaeological sites; area: city centre</t>
  </si>
  <si>
    <t>Copenhagen, Denmark</t>
  </si>
  <si>
    <t>Find independent Danish design shops in Copenhagen.</t>
  </si>
  <si>
    <t>category: design shops; independent/local</t>
  </si>
  <si>
    <t>ru</t>
  </si>
  <si>
    <t>London, United Kingdom</t>
  </si>
  <si>
    <t>Порекомендуй бесплатные музеи в центре Лондона.</t>
  </si>
  <si>
    <t>категория: музеи; цена: бесплатно; район: центр</t>
  </si>
  <si>
    <t>Barcelona, Spain</t>
  </si>
  <si>
    <t>Найди хорошие веганские кафе в Барселоне.</t>
  </si>
  <si>
    <t>категория: веганские кафе</t>
  </si>
  <si>
    <t>CIS</t>
  </si>
  <si>
    <t>Almaty, Kazakhstan</t>
  </si>
  <si>
    <t>Find family-friendly parks in Almaty.</t>
  </si>
  <si>
    <t>category: parks; family-friendly</t>
  </si>
  <si>
    <t>Tbilisi, Georgia</t>
  </si>
  <si>
    <t>Suggest local bakeries in central Tbilisi.</t>
  </si>
  <si>
    <t>category: local bakeries; area: centre</t>
  </si>
  <si>
    <t>Baku, Azerbaijan</t>
  </si>
  <si>
    <t>Find historical museums in Baku.</t>
  </si>
  <si>
    <t>category: historical museums</t>
  </si>
  <si>
    <t>Yerevan, Armenia</t>
  </si>
  <si>
    <t>Recommend bookstores with cafes in Yerevan.</t>
  </si>
  <si>
    <t>category: bookstores with cafes</t>
  </si>
  <si>
    <t>Moscow, Russia</t>
  </si>
  <si>
    <t>Найди красивые смотровые площадки в Москве.</t>
  </si>
  <si>
    <t>категория: смотровые площадки</t>
  </si>
  <si>
    <t>Tashkent, Uzbekistan</t>
  </si>
  <si>
    <t>Посоветуй недорогие рестораны узбекской кухни в Ташкенте.</t>
  </si>
  <si>
    <t>категория: узбекские рестораны; бюджет: недорого</t>
  </si>
  <si>
    <t>Проверка информации о конкретном месте</t>
  </si>
  <si>
    <t>Is the Natural History Museum in London open today, and how much are the tickets?</t>
  </si>
  <si>
    <t>current opening status; ticket price</t>
  </si>
  <si>
    <t>Однозначно идентифицированное место; актуальные данные из tool output; точные часы/цены/условия либо честное указание, что данных недостаточно.</t>
  </si>
  <si>
    <t>Выдуманные часы работы, цены, правила или адрес; уверенный ответ без подтверждения; информация о другом объекте.</t>
  </si>
  <si>
    <t>Paris, France</t>
  </si>
  <si>
    <t>Is the Louvre open on Tuesdays, and do I need to book in advance?</t>
  </si>
  <si>
    <t>opening day; advance booking</t>
  </si>
  <si>
    <t>What time does Sagrada Família close today, and what is the current admission price?</t>
  </si>
  <si>
    <t>current closing time; ticket price</t>
  </si>
  <si>
    <t>Is the Rijksmuseum wheelchair accessible, and are accessible entrances marked?</t>
  </si>
  <si>
    <t>accessibility; entrance information</t>
  </si>
  <si>
    <t>Vienna, Austria</t>
  </si>
  <si>
    <t>What are today’s opening hours for Schönbrunn Palace, and which areas require a ticket?</t>
  </si>
  <si>
    <t>current opening hours; paid areas</t>
  </si>
  <si>
    <t>Is the Acropolis Museum open on Monday, and are there discounted student tickets?</t>
  </si>
  <si>
    <t>Monday schedule; student discount</t>
  </si>
  <si>
    <t>Madrid, Spain</t>
  </si>
  <si>
    <t>Работает ли музей Прадо по понедельникам и сколько сейчас стоит входной билет?</t>
  </si>
  <si>
    <t>график по понедельникам; актуальная цена</t>
  </si>
  <si>
    <t>Florence, Italy</t>
  </si>
  <si>
    <t>Нужно ли заранее бронировать посещение галереи Уффици?</t>
  </si>
  <si>
    <t>необходимость бронирования</t>
  </si>
  <si>
    <t>Во сколько закрывается Пражский град зимой и какие объекты входят в билет?</t>
  </si>
  <si>
    <t>зимний график; состав билета</t>
  </si>
  <si>
    <t>Saint Petersburg, Russia</t>
  </si>
  <si>
    <t>Is the State Hermitage Museum open on Wednesdays, and what is the current adult ticket price?</t>
  </si>
  <si>
    <t>Wednesday schedule; adult ticket price</t>
  </si>
  <si>
    <t>Is the Georgian National Museum open on Mondays?</t>
  </si>
  <si>
    <t>Monday schedule</t>
  </si>
  <si>
    <t>What are the current opening hours and admission fee for the History Museum of Armenia?</t>
  </si>
  <si>
    <t>current hours; admission fee</t>
  </si>
  <si>
    <t>Is the Azerbaijan National Carpet Museum open today, and is photography allowed?</t>
  </si>
  <si>
    <t>current opening status; photography policy</t>
  </si>
  <si>
    <t>Работает ли сегодня Музей космонавтики и сколько стоит взрослый билет?</t>
  </si>
  <si>
    <t>актуальный статус; цена взрослого билета</t>
  </si>
  <si>
    <t>Сколько стоит вход в Государственный музей искусств имени Кастеева и во сколько он закрывается?</t>
  </si>
  <si>
    <t>актуальная цена; время закрытия</t>
  </si>
  <si>
    <t>Поиск мест рядом с заданной точкой</t>
  </si>
  <si>
    <t>Find good cafes within 800 metres of Charles Bridge.</t>
  </si>
  <si>
    <t>category: cafes; radius: 800 m; anchor: Charles Bridge</t>
  </si>
  <si>
    <t>Правильно распознанная исходная точка; реальные места нужной категории; соблюдение радиуса/времени пешком; релевантное ранжирование.</t>
  </si>
  <si>
    <t>Места за пределами ограничения; неверная исходная точка; нерелевантные категории; дубликаты или выдуманные места.</t>
  </si>
  <si>
    <t>Find affordable restaurants within a 10-minute walk of Gare du Nord.</t>
  </si>
  <si>
    <t>category: restaurants; budget: affordable; walking time: 10 min</t>
  </si>
  <si>
    <t>Recommend gelato shops within 1 km of the Colosseum.</t>
  </si>
  <si>
    <t>category: gelato shops; radius: 1 km; anchor: Colosseum</t>
  </si>
  <si>
    <t>Find museums within 2 km of Vienna Hauptbahnhof.</t>
  </si>
  <si>
    <t>category: museums; radius: 2 km; anchor: central station</t>
  </si>
  <si>
    <t>Find breakfast places within a 15-minute walk of Plaça de Catalunya.</t>
  </si>
  <si>
    <t>category: breakfast; walking time: 15 min</t>
  </si>
  <si>
    <t>Suggest quiet parks near the British Museum.</t>
  </si>
  <si>
    <t>category: parks; atmosphere: quiet; anchor: British Museum</t>
  </si>
  <si>
    <t>Найди уютные кафе в радиусе километра от Лувра.</t>
  </si>
  <si>
    <t>категория: кафе; радиус: 1 км; точка: Лувр</t>
  </si>
  <si>
    <t>Порекомендуй вегетарианские рестораны в пределах 15 минут пешком от Бранденбургских ворот.</t>
  </si>
  <si>
    <t>категория: вегетарианские рестораны; 15 минут пешком</t>
  </si>
  <si>
    <t>Найди небольшие музеи рядом с площадью Дам.</t>
  </si>
  <si>
    <t>категория: небольшие музеи; точка: площадь Дам</t>
  </si>
  <si>
    <t>Find cafes within a 10-minute walk of Freedom Square in Tbilisi.</t>
  </si>
  <si>
    <t>category: cafes; walking time: 10 min; anchor: Freedom Square</t>
  </si>
  <si>
    <t>Recommend Armenian restaurants near Republic Square in Yerevan.</t>
  </si>
  <si>
    <t>category: Armenian restaurants; anchor: Republic Square</t>
  </si>
  <si>
    <t>Find parks within 2 km of Red Square.</t>
  </si>
  <si>
    <t>category: parks; radius: 2 km; anchor: Red Square</t>
  </si>
  <si>
    <t>Find coworking-friendly cafes near Abai Square in Almaty.</t>
  </si>
  <si>
    <t>category: cafes; feature: coworking-friendly; anchor: Abai Square</t>
  </si>
  <si>
    <t>Найди рестораны русской кухни рядом с Дворцовой площадью.</t>
  </si>
  <si>
    <t>категория: русская кухня; точка: Дворцовая площадь</t>
  </si>
  <si>
    <t>Samarkand, Uzbekistan</t>
  </si>
  <si>
    <t>Порекомендуй семейные кафе недалеко от площади Регистан.</t>
  </si>
  <si>
    <t>категория: семейные кафе; точка: Регистан</t>
  </si>
  <si>
    <t>Список мест для поездки</t>
  </si>
  <si>
    <t>I am visiting Paris for three days. Suggest places for art, local food and evening walks.</t>
  </si>
  <si>
    <t>duration: 3 days; interests: art, food, evening walks; output: list</t>
  </si>
  <si>
    <t>Реальные места, покрывающие все заявленные интересы; удобная группировка по категориям; краткое объяснение выбора; формат именно списка.</t>
  </si>
  <si>
    <t>Жесткий маршрут вместо списка; пропуск важной категории; выдуманные места; места вне локации; однообразная подборка.</t>
  </si>
  <si>
    <t>Give me a list of places in Prague for architecture, coffee and river views.</t>
  </si>
  <si>
    <t>interests: architecture, coffee, river views; output: list</t>
  </si>
  <si>
    <t>Suggest places in Lisbon for street art, viewpoints and traditional food.</t>
  </si>
  <si>
    <t>interests: street art, viewpoints, traditional food</t>
  </si>
  <si>
    <t>Make a list of alternative culture spots, flea markets and inexpensive eateries in Berlin.</t>
  </si>
  <si>
    <t>interests: alternative culture, flea markets, cheap food</t>
  </si>
  <si>
    <t>Suggest less crowded historical places and local restaurants in Rome.</t>
  </si>
  <si>
    <t>interests: history, local food; preference: less crowded</t>
  </si>
  <si>
    <t>List places in Vienna for classical music, coffee culture and parks.</t>
  </si>
  <si>
    <t>interests: classical music, coffee, parks</t>
  </si>
  <si>
    <t>Suggest places in Copenhagen for design, modern architecture and food markets.</t>
  </si>
  <si>
    <t>interests: design, architecture, food markets</t>
  </si>
  <si>
    <t>Budapest, Hungary</t>
  </si>
  <si>
    <t>Составь список мест в Будапеште для терм, архитектуры и венгерской кухни.</t>
  </si>
  <si>
    <t>интересы: термы, архитектура, кухня; формат: список</t>
  </si>
  <si>
    <t>Порекомендуй места в Афинах для античной истории, видов на город и местной еды.</t>
  </si>
  <si>
    <t>интересы: история, виды, местная еда</t>
  </si>
  <si>
    <t>I am going to Tbilisi for four days. Suggest places for culture, Georgian food and panoramic views.</t>
  </si>
  <si>
    <t>duration: 4 days; interests: culture, food, views; output: list</t>
  </si>
  <si>
    <t>List places in Yerevan for history, Armenian cuisine and contemporary art.</t>
  </si>
  <si>
    <t>interests: history, cuisine, contemporary art</t>
  </si>
  <si>
    <t>Suggest places in Almaty for mountain views, local food and modern culture.</t>
  </si>
  <si>
    <t>interests: mountain views, food, modern culture</t>
  </si>
  <si>
    <t>Make a list of places in Baku for architecture, Caspian Sea views and Azerbaijani cuisine.</t>
  </si>
  <si>
    <t>interests: architecture, sea views, cuisine</t>
  </si>
  <si>
    <t>Kazan, Russia</t>
  </si>
  <si>
    <t>Составь список мест в Казани c татарской кухней и прогулок у воды.</t>
  </si>
  <si>
    <t>интересы:  татарская кухня, вода; формат: список</t>
  </si>
  <si>
    <t>Порекомендуй места в Ташкенте для советской архитектуры, рынков и узбекской кухни.</t>
  </si>
  <si>
    <t>интересы: архитектура, рынки, кухня</t>
  </si>
  <si>
    <t>Маршрут на один день</t>
  </si>
  <si>
    <t>Plan a one-day walking route in Budapest with architecture, river views and two cafe breaks.</t>
  </si>
  <si>
    <t>one day; walking; architecture; river views; 2 cafe breaks</t>
  </si>
  <si>
    <t>Реальные места; логичный географический порядок; выполнимый объем на один день; учет транспорта, еды/отдыха и всех ограничений.</t>
  </si>
  <si>
    <t>Хаотичный порядок; слишком дальние переходы; перегруженный план; отсутствие пауз; выдуманные места или факты.</t>
  </si>
  <si>
    <t>Plan a relaxed one-day route through Prague Old Town with historical sights and lunch.</t>
  </si>
  <si>
    <t>one day; relaxed pace; Old Town; history; lunch</t>
  </si>
  <si>
    <t>Create a one-day route in Paris focused on Impressionist art and a walk along the Seine.</t>
  </si>
  <si>
    <t>one day; art; Seine walk</t>
  </si>
  <si>
    <t>Plan a one-day route in Rome with ancient landmarks, one local lunch and no more than 8 km of walking.</t>
  </si>
  <si>
    <t>one day; ancient landmarks; lunch; max 8 km walking</t>
  </si>
  <si>
    <t>Create a one-day route in Lisbon with viewpoints and historic neighbourhoods, avoiding very steep walks where possible.</t>
  </si>
  <si>
    <t>one day; viewpoints; historic areas; reduce steep walking</t>
  </si>
  <si>
    <t>Plan a one-day route in Amsterdam with canals, a museum and a quiet park.</t>
  </si>
  <si>
    <t>one day; canals; museum; park</t>
  </si>
  <si>
    <t>Plan a one-day route in Berlin about twentieth-century history, with time for lunch.</t>
  </si>
  <si>
    <t>one day; 20th-century history; lunch</t>
  </si>
  <si>
    <t>Plan a one-day walking route in Barcelona with Gaudí architecture and a late lunch.</t>
  </si>
  <si>
    <t>one day; walking; Gaudí; late lunch</t>
  </si>
  <si>
    <t>Create a calm one-day route in Vienna for my parents, with museums and little walking.</t>
  </si>
  <si>
    <t>one day; parents; museums; low walking</t>
  </si>
  <si>
    <t>Составь маршрут на один день по Флоренции с искусством эпохи Возрождения и перерывом на обед.</t>
  </si>
  <si>
    <t>один день; Возрождение; обед</t>
  </si>
  <si>
    <t>Составь спокойный маршрут на день по Копенгагену с современной архитектурой и набережными.</t>
  </si>
  <si>
    <t>один день; спокойный темп; архитектура; набережные</t>
  </si>
  <si>
    <t>Составь маршрут на день по Афинам с античными памятниками, но без слишком долгих подъёмов.</t>
  </si>
  <si>
    <t>один день; античные места; меньше подъёмов</t>
  </si>
  <si>
    <t>Plan a one-day walking route in Tbilisi with Old Town sights, Georgian lunch and a viewpoint.</t>
  </si>
  <si>
    <t>one day; walking; Old Town; lunch; viewpoint</t>
  </si>
  <si>
    <t>Create a one-day route in Yerevan with history, local food and contemporary art.</t>
  </si>
  <si>
    <t>one day; history; local food; contemporary art</t>
  </si>
  <si>
    <t>Plan a one-day route in Almaty with parks, modern architecture and Kazakh food, mostly using public transport.</t>
  </si>
  <si>
    <t>one day; parks; architecture; food; public transport</t>
  </si>
  <si>
    <t>Plan a one-day route in Baku with the Old City, seaside promenade and Azerbaijani dinner.</t>
  </si>
  <si>
    <t>one day; Old City; seaside; dinner</t>
  </si>
  <si>
    <t>Minsk, Belarus</t>
  </si>
  <si>
    <t>Create a one-day route in Minsk focused on architecture, parks and local cuisine.</t>
  </si>
  <si>
    <t>one day; architecture; parks; local cuisine</t>
  </si>
  <si>
    <t>Составь прогулочный маршрут по Москве на один день с музеем, парком и недорогим обедом.</t>
  </si>
  <si>
    <t>один день; музей; парк; недорогой обед</t>
  </si>
  <si>
    <t>Составь маршрут на день по Петербургу с дворцами, набережными и минимальным количеством поездок на метро.</t>
  </si>
  <si>
    <t>один день; дворцы; набережные; минимум метро</t>
  </si>
  <si>
    <t>Составь маршрут на один день по Самарканду с главными историческими местами и временем на обед.</t>
  </si>
  <si>
    <t>один день; история; обед</t>
  </si>
  <si>
    <t>Планирование поездки на несколько дней</t>
  </si>
  <si>
    <t>Plan a three-day trip to Vienna. I like museums, coffee and parks.</t>
  </si>
  <si>
    <t>3 days; museums; coffee; parks</t>
  </si>
  <si>
    <t>Разбивка по дням; географическая группировка; реалистичная нагрузка; баланс интересов, еды и отдыха; реальные места.</t>
  </si>
  <si>
    <t>Перегруженные дни; повторения; хаотичные перемещения; пропуск заявленных интересов; выдуманные места или факты.</t>
  </si>
  <si>
    <t>Plan a four-day trip to Paris for a first-time visitor, balancing major sights with less crowded neighbourhoods.</t>
  </si>
  <si>
    <t>4 days; first visit; major sights; less crowded areas</t>
  </si>
  <si>
    <t>Create a two-day itinerary in Prague with architecture, Czech food and evening walks.</t>
  </si>
  <si>
    <t>2 days; architecture; food; evening walks</t>
  </si>
  <si>
    <t>Plan a three-day trip to Rome with ancient history, art and one relaxed afternoon.</t>
  </si>
  <si>
    <t>3 days; history; art; relaxed afternoon</t>
  </si>
  <si>
    <t>Plan a four-day trip to Barcelona with architecture, beaches and food markets, without overloading the days.</t>
  </si>
  <si>
    <t>4 days; architecture; beaches; markets; relaxed load</t>
  </si>
  <si>
    <t>Create a three-day plan for Amsterdam with museums, canals and one day trip nearby.</t>
  </si>
  <si>
    <t>3 days; museums; canals; nearby day trip</t>
  </si>
  <si>
    <t>Составь план поездки в Будапешт на три дня: архитектура, термы и венгерская кухня.</t>
  </si>
  <si>
    <t>3 дня; архитектура; термы; кухня</t>
  </si>
  <si>
    <t>Составь план на четыре дня в Лиссабоне с историческими районами, океаном и местной едой.</t>
  </si>
  <si>
    <t>4 дня; история; океан; еда</t>
  </si>
  <si>
    <t>Распланируй три дня в Берлине для человека, который любит историю, современное искусство и недорогие кафе.</t>
  </si>
  <si>
    <t>3 дня; история; искусство; недорогие кафе</t>
  </si>
  <si>
    <t>Plan a three-day trip to Tbilisi with culture, Georgian food and one easy nature excursion.</t>
  </si>
  <si>
    <t>3 days; culture; food; easy nature trip</t>
  </si>
  <si>
    <t>Create a four-day plan for Yerevan with history, local cuisine and one day trip outside the city.</t>
  </si>
  <si>
    <t>4 days; history; cuisine; one day trip</t>
  </si>
  <si>
    <t>Plan a three-day visit to Almaty with city sights, mountain views and Kazakh food.</t>
  </si>
  <si>
    <t>3 days; city sights; mountains; food</t>
  </si>
  <si>
    <t>Plan a three-day trip to Baku with architecture, museums and the Caspian waterfront.</t>
  </si>
  <si>
    <t>3 days; architecture; museums; waterfront</t>
  </si>
  <si>
    <t>Составь план поездки в Казань на три дня с татарской кухней и прогулками у воды.</t>
  </si>
  <si>
    <t>3 дня;  кухня; вода</t>
  </si>
  <si>
    <t>Распланируй четыре дня в Ташкенте с рынками, музеями, архитектурой и узбекской кухней.</t>
  </si>
  <si>
    <t>4 дня; рынки; музеи; архитектура; кухня</t>
  </si>
  <si>
    <t>Неполные / неоднозначные запросы</t>
  </si>
  <si>
    <t>Plan something nice in Paris tomorrow.</t>
  </si>
  <si>
    <t>missing: interests, budget, duration, starting point</t>
  </si>
  <si>
    <t>1–3 точных уточняющих вопроса либо базовый вариант с явно обозначенными предположениями; указание, каких данных не хватает.</t>
  </si>
  <si>
    <t>Чрезмерно конкретный уверенный план без оснований; скрытые предположения; игнорирование неоднозначности запроса.</t>
  </si>
  <si>
    <t>I have one free day in Prague. What should I do?</t>
  </si>
  <si>
    <t>missing: interests, pace, budget, transport preferences</t>
  </si>
  <si>
    <t>Хочу интересно провести день в Берлине.</t>
  </si>
  <si>
    <t>не указаны: интересы, бюджет, район, темп</t>
  </si>
  <si>
    <t>Show me something interesting to do in Tbilisi.</t>
  </si>
  <si>
    <t>missing: date, duration, interests, location</t>
  </si>
  <si>
    <t>I will be in Almaty for a while. Make me a plan.</t>
  </si>
  <si>
    <t>missing: exact duration, dates, interests, budget</t>
  </si>
  <si>
    <t>model</t>
  </si>
  <si>
    <t>prompt_version</t>
  </si>
  <si>
    <t>tool_outputs</t>
  </si>
  <si>
    <t>model_answer</t>
  </si>
  <si>
    <t>intent</t>
  </si>
  <si>
    <t>relevance</t>
  </si>
  <si>
    <t>factuality</t>
  </si>
  <si>
    <t>feasibility</t>
  </si>
  <si>
    <t>format</t>
  </si>
  <si>
    <t>critical_error</t>
  </si>
  <si>
    <t>error_type</t>
  </si>
  <si>
    <t>overall_score</t>
  </si>
  <si>
    <t>evaluator_notes</t>
  </si>
  <si>
    <t>run_date</t>
  </si>
  <si>
    <t>Не удалось завершить запрос в отведённое число шагов.</t>
  </si>
  <si>
    <t>qwen/qwen3-30b-a3b-instruct-2507</t>
  </si>
  <si>
    <t>web_search(ok) | model_calls=2 tool_calls=1 grounded=true</t>
  </si>
  <si>
    <t>Here are some less crowded historical sites and authentic local restaurants in Rome, perfect for a more tranquil and immersive experience:
---
### 🏛️ **Less Crowded Historical Places in Rome**
1. **Clivus Scauri (Caelian Hill)**  
   - *Location:* Between the Palatine and Caelian Hills  
   - *Why visit:* This ancient Roman street is one of the best-preserved in the city, winding through a quiet, green area with a serene atmosphere. It’s far removed from the tourist crowds near the Colosseum and offers a peaceful journey through millennia of history.  
   - *Highlights:*  
     - The Basilica of Saints John and Paul  
     - Roman Houses of the Caelian Hill (an archaeological complex with frescoes and layered history)  
     - Panoramic views of Rome from the hilltop  
   - *Tip:* Visit early in the morning to enjoy the tranquility and avoid midday heat.
2. **Villa Torlonia Museums and Park**  
   - *Location:* Trastevere area, near the Janiculum Hill  
   - *Why visit:* A hidden gem with a mix of ancient ruins, 19th-century architecture, and lush gardens. The park is expansive and rarely crowded, offering a peaceful escape.  
   - *Highlights:*  
     - The ruins of a Roman villa beneath the park  
     - The elegant Villa Torlonia, once a residence of Mussolini  
     - The Museum of the Italian Republic and the Museum of the 20th Century  
   - *Tip:* Combine a visit with a walk along the Janiculum Hill for a stunning sunset view.
3. **Ostia Antica (Ancient Rome’s Port City)**  
   - *Location:* 30 minutes by train from Rome (Porta San Paolo station)  
   - *Why visit:* Often called “Rome’s Pompeii,” this well-preserved ancient city offers a quieter alternative to the crowded ruins in the city center.  
   - *Highlights:*  
     - Ancient streets, houses, baths, and mosaics  
     - A peaceful atmosphere with fewer tourists  
     - A perfect setting for a relaxed afternoon walk  
   - *Tip:* Visit in the morning to avoid the midday heat and crowds.
---
### 🍝 **Authentic Local Restaurants in Rome**
1. **Ristorante Monumento dal 1884 (Ostia Antica)**  
   - *Location:* Piazza Umberto I, 8, Ostia Antica  
   - *Why go:* A century-old family-run restaurant that’s a local institution. It’s located right in the heart of Ostia Antica, making it ideal for a post-ruins seafood lunch.  
   - *Must-try dishes:*  
     - Linguine in bianco with clams, mussels, squid, and shrimp  
     - Shrimp in brandy-lime sauce  
     - Tiramisu (dense and rich, with a generous dusting of cacao)  
   - *Atmosphere:* Sunny enclosed terrace, rustic charm, and warm hospitality.
2. **Trattoria da Enzo al 29** (Trastevere)  
   - *Location:* Via dei Vascellari, 29, Trastevere  
   - *Why go:* A beloved local favorite, tucked away in a quiet alley. It’s known for its traditional Roman cuisine and authentic atmosphere.  
   - *Must-try dishes:*  
     - Cacio e pepe (a classic Roman pasta)  
     - Saltimbocca alla Romana (veal with prosciutto and sage)  
     - Carciofi alla Romana (Roman-style artichokes)  
   - *Tip:* Arrive early or make a reservation—this place is popular with locals and fills up quickly.
3. **La Montecarlo** (Testaccio)  
   - *Location:* Via di Monte Testaccio, 10  
   - *Why go:* A no-frills, family-run spot known for its hearty Roman dishes and affordable prices. It’s a favorite among locals and foodies.  
   - *Must-try dishes:*  
     - Trippa alla Romana (Roman-style tripe)  
     - Abbacchio alla scottadito (grilled lamb)  
     - Pecorino cheese with honey  
   - *Atmosphere:* Simple, rustic, and full of character.
---
### 🗺️ **Travel Tips**
- **Best time to visit:** Early morning (before 10:00 AM) or late afternoon (after 4:00 PM) to avoid peak tourist hours.  
- **Transport:** Use the metro (Line A) to reach Ostia Antica and Trastevere. For the Caelian Hill and Villa Torlonia, a short walk or taxi is ideal.  
- **Dress code:** Comfortable walking shoes are essential—Rome is best explored on foot.
Enjoy your journey through the quieter, more authentic side of Rome! 🇮🇹✨</t>
  </si>
  <si>
    <t>Да</t>
  </si>
  <si>
    <t>Wrong location within city; Hallucinated place; Unsupported factual claim</t>
  </si>
  <si>
    <t>Формат строго списочный, обе категории покрыты, ставка на «нетуристическое» выдержана. Реальны и точны: Clivus Scauri с Римскими домами Целия и базиликой Сан-Джованни-э-Паоло, Остия-Антика, Trattoria da Enzo al 29 (Via dei Vascellari 29, Трастевере), Ristorante Monumento dal 1884 на Пьяцца Умберто I. Критично: вилла Торлония отнесена к Трастевере рядом с Яникулом — фактически Виа Номентана, северо-восток города; её музеи названы «Музей Итальянской Республики» и «Музей XX века» — таких там нет (Казино Нобиле, Казина делле Чиветте, Казино дей Принчипи), а под парком не «руины римской виллы», а еврейские катакомбы. La Montecarlo указана в Тестаччо (Via di Monte Testaccio 10) — реальная La Montecarlo это пиццерия у Пьяцца Навона. Совет ехать линией метро A в Остию-Антику и Трастевере неверен: Остия — линия Roma-Lido от Порта-Сан-Паоло. Подборка тонкая: по три позиции в каждой категории, две из шести привязаны к Остии.</t>
  </si>
  <si>
    <t>web_search(ok); web_search(ok); web_search(ok) | model_calls=4 tool_calls=3 grounded=true</t>
  </si>
  <si>
    <t>Here is a curated list of the best places in Vienna for classical music, coffee culture, and parks, based on your interests:
---
### 🎻 **Classical Music Venues in Vienna**
Vienna is renowned as the "City of Music," and its historic concert halls and churches offer world-class performances.
1. **The Musikverein**  
   - One of the most prestigious concert halls in the world, home to the Vienna Philharmonic Orchestra.  
   - Famous for the annual New Year’s Concert.  
   - *Tip:* Book tickets in advance for performances of Mozart, Beethoven, and Strauss.
2. **Konzerthaus Wien**  
   - A major venue for classical concerts, including symphonies, chamber music, and recitals.  
   - Hosts the traditional **Christmas in Vienna** concert during the holiday season.
3. **Schönbrunn Palace Orangery**  
   - A stunning setting for classical music concerts in a historic imperial garden.  
   - Offers performances of works by Mozart, Haydn, and Vivaldi.
4. **Café Museum (Karlsplatz)**  
   - A legendary coffee house with a long history of hosting live piano music (Fridays–Sundays, 4–7:30 PM).  
   - Once frequented by Gustav Klimt and Adolf Loos.
5. **Konzert-Café Weimar (near Volksoper)**  
   - Historic café with live piano music featuring operetta, jazz, and swing (Fri–Sun, 4–8 PM).
---
### ☕ **Iconic Coffee Houses for Viennese Coffee Culture**
Vienna’s coffee house tradition is a UNESCO-recognized cultural heritage. These are the most authentic and beloved spots.
1. **Café Sacher Wien**  
   - Famous for the **Original Sacher-Torte** and the **Sacher Coffee**.  
   - Elegant, historic setting in the heart of Vienna.  
   - A must-visit for a luxurious coffee and cake experience.
2. **Café Central**  
   - A grand 19th-century café where Freud, Trotsky, and other intellectuals once gathered.  
   - Known for its opulent interior and traditional Viennese pastries.
3. **Café Hawelka**  
   - A legendary cultural hub with a bohemian atmosphere.  
   - Famous for its **Buchteln** (jam-filled dough balls).  
   - A favorite among artists and writers.
4. **Café Sperl**  
   - One of the oldest coffee houses in Vienna (since 1880), with timeless decor.  
   - Offers a genuine taste of old Vienna, including billiards and traditional cakes.
5. **Café Schwarzenberg**  
   - A cozy, intimate spot with a literary vibe.  
   - Known for its excellent coffee and relaxed ambiance.
---
### 🌳 **Top Parks in Vienna for Relaxation &amp; Scenic Views**
Vienna’s green spaces combine natural beauty with historical charm.
1. **Schloss Schönbrunn (Schönbrunn Palace Gardens)**  
   - The imperial summer residence with magnificent baroque gardens.  
   - Features fountains, a hedge maze, and the Gloriette (a triumphal arch with panoramic city views).  
   - Ideal for a peaceful stroll or a picnic.
2. **Stadtpark (City Park)**  
   - A serene green oasis near the Wien River, perfect for walking and cycling.  
   - Home to a famous statue of Johann Strauss II.  
   - Offers a tranquil escape from the city center.
3. **Prater Park**  
   - Vienna’s largest public park, once a royal hunting ground.  
   - Famous for the **Wiener Riesenrad (Vienna Ferris Wheel)**.  
   - Great for picnics, cycling, and summer festivals.
4. **Lainzer Tiergarten**  
   - A wild, forested park with free-roaming deer, boar, and birds.  
   - A peaceful retreat for nature lovers and cross-country skiers in winter.
5. **Belvedere Palace Gardens**  
   - Symmetrical French-style gardens between two grand palaces.  
   - Features fountains, topiary, and stunning views of the palace and city skyline.
---
### ✅ **Recommended Experience Itinerary**
- **Morning:** Start at **Café Sacher** for a traditional Viennese breakfast and a slice of Sacher-Torte.  
- **Afternoon:** Walk through **Stadtpark**, then visit **Café Central** for coffee and people-watching.  
- **Evening:** Attend a classical concert at **The Musikverein** or **Schönbrunn Orangery**.  
- **Optional:** End the day with a sunset stroll in **Schönbrunn Gardens**.
Vienna beautifully blends music, coffee, and nature—perfect for a culturally rich and relaxing visit.</t>
  </si>
  <si>
    <t>Нет</t>
  </si>
  <si>
    <t>Low relevance; Unsupported factual claim</t>
  </si>
  <si>
    <t>Все три интереса покрыты реальными местами, формат списка. Кафе (Café Museum, Konzert-Café Weimar) отнесены в раздел классической музыки. Указаны конкретные часы живой музыки — не подтверждаются. В конце добавлен мини-маршрут, но список остаётся основным.</t>
  </si>
  <si>
    <t>Here are some top recommendations in Copenhagen for design, modern architecture, and food markets:
---
### 🏛️ **1. BLOX – Urban Life, Architecture &amp; Sustainability**
- **Why visit**: A striking example of modern architecture designed by renowned Dutch architects OMA. Located on Copenhagen’s central harbor front, BLOX is a hub for urban innovation, design, and sustainability.
- **Highlights**:
  - **Danish Architecture Center (DAC)**: Hosts exhibitions on Danish and international architecture, design, and urban development.
  - **Design Shop**: Curated selection of Danish jewelry, watches, fashion, books, and design objects.
  - **BLOX EATS**: A vibrant café and restaurant with outdoor seating, perfect for a modern dining experience.
  - **Rental Apartments**: 22 stylish apartments with rooftop terraces (ideal for extended stays).
- **Location**: Harbor front, Copenhagen.
- **Website**: [www.blox.dk](https://www.blox.dk)
---
### 🍴 **2. Reffen – The Largest Street Food Market in the Nordics**
- **Why visit**: A dynamic, waterfront food market that blends global street food with sustainable design and cultural events.
- **Highlights**:
  - Over 50 food stalls offering cuisines from around the world (e.g., Thai, Mexican, Middle Eastern, and Nordic).
  - Unique architecture using repurposed shipping containers and reclaimed materials.
  - Regular live music, art installations, and seasonal events.
  - Open daily, making it a great spot for both lunch and evening outings.
- **Location**: Former industrial harbor area, close to the city center.
- **Website**: [reffen.dk](https://www.reffen.dk)
---
### 🏙️ **3. The Danish Architecture Center (DAC) – Inside BLOX**
- **Why visit**: A must-visit for design and architecture enthusiasts. The center showcases the evolution of Danish design and urban planning.
- **Highlights**:
  - **"So Danish!" Exhibition**: A sensory journey through 1,000 years of Danish architecture and design, featuring models, films, drawings, and installations.
  - **Events &amp; Workshops**: Regular talks, lectures, and interactive sessions on architecture and sustainability.
  - **Café &amp; Shop**: Relax with a coffee and browse unique design products.
- **Location**: Inside BLOX, Copenhagen.
- **Website**: [dac.dk](https://dac.dk)
---
### 🌿 **4. Superkilen Park – A Design-Driven Urban Space**
- **Why visit**: A bold, colorful public park designed by the Danish firm BIG (Bjarke Ingels Group) in collaboration with Topotek 1 and Superflex.
- **Highlights**:
  - A fusion of global cultures represented through architecture, art, and landscape design.
  - Features iconic elements like a red square, a black street, and a green park — each symbolizing a different cultural region.
  - A great place for a walk, photography, or simply experiencing innovative urban design.
- **Location**: Nørrebro district, central Copenhagen.
- **Website**: [superkilen.dk](https://www.superkilen.dk)
---
### 🍽️ **5. Torvehallerne (The Old Market Hall) – Modern Food Market with Design Flair**
- **Why visit**: A beautifully restored 19th-century market hall now transformed into a modern food destination with a strong design focus.
- **Highlights**:
  - Over 30 vendors offering artisanal food, organic produce, gourmet treats, and craft beverages.
  - Elegant interior with exposed brick, glass, and modern lighting — a blend of old and new.
  - Hosts pop-up events, cooking classes, and food festivals.
- **Location**: Vesterbro, near the city center.
- **Website**: [torvehallerne.dk](https://www.torvehallerne.dk)
---
### ✅ **Summary:**
| Category | Recommended Place |
|--------|-------------------|
| **Modern Architecture** | BLOX, Superkilen Park |
| **Design &amp; Culture** | Danish Architecture Center (DAC), BLOX Design Shop |
| **Food Markets** | Reffen, Torvehallerne |
These locations offer a perfect blend of cutting-edge design, architectural innovation, and culinary experiences — all in the heart of Copenhagen.
Let me know if you’d like a walking route or a day itinerary combining these spots!</t>
  </si>
  <si>
    <t>Unsupported factual claim; Too verbose</t>
  </si>
  <si>
    <t>BLOX, Reffen, Superkilen, Torvehallerne, DAC — реальные, авторы (OMA, BIG) указаны верно. Torvehallerne отнесён к Vesterbro, фактически Indre By / Israels Plads. DAC и BLOX разнесены в два пункта, хотя это одно здание — дублирование сокращает реальную подборку.</t>
  </si>
  <si>
    <t>Вот подборка мест в Будапеште, которые идеально сочетают термальные источники, архитектурные достопримечательности и аутентичную венгерскую кухню:
---
### 🛁 **Термальные источники (термы)**
1. **Купальня Сечени (Széchenyi Gyógyfürdő)**  
   - **Особенности**: Самая большая термальная баня в Европе, расположена на берегу Дуная. Включает 18 бассейнов, в том числе открытые, с термальной водой (36–40 °C).  
   - **Атмосфера**: Оживлённая, популярна среди туристов и местных жителей.  
   - **Совет**: Посетите вечером, чтобы насладиться видом на подсвеченный Парламент.  
   - **Ссылка**: [Сечени — официальный сайт](https://www.szechenyygyogyfurdo.hu)
2. **Купальня Рудаш (Rudas Baths)**  
   - **Особенности**: Историческая баня с османским наследием, построенная в XVI веке. Центральный восьмиугольный бассейн под рёбристым куполом с витражами — настоящий архитектурный шедевр.  
   - **Атмосфера**: Тихая, созерцательная, идеальна для релаксации.  
   - **Совет**: Посетите утром — свет, проникающий через витражи, особенно красив.  
   - **Ссылка**: [Rudas Baths — официальный сайт](https://www.rudasbaths.hu)
3. **Купальня Геллерт (Gellért Baths)**  
   - **Особенности**: Современный велнес-комплекс с историческим ядром. Включает бассейны, сауны, соляные пещеры и крытый бассейн с видом на Дунай.  
   - **Важно**: В настоящее время закрыта на реконструкцию до 2028 года.  
   - **Альтернатива**: Посетите **Купальню Лукач (Lukács Baths)** — более спокойная, с архитектурой в стиле модерн.
---
### 🏛️ **Архитектурные достопримечательности**
1. **Парламент Венгрии (Hungarian Parliament Building)**  
   - **Особенности**: Неоготический шедевр на берегу Дуная. Внутри — великолепные залы, мозаики, башни.  
   - **Совет**: Пройдитесь по балкону на верхнем этаже — панорама на Пешт и Дунай потрясающая.  
   - **Экскурсии**: Доступны на нескольких языках.
2. **Замковый район и Рыбацкий бастион (Buda Castle &amp; Fisherman’s Bastion)**  
   - **Особенности**: Исторический холм с панорамными видами.  
   - **Достопримечательности**:  
     - Будайский замок (с музеями)  
     - Церковь Святого Матяша  
     - Лабиринт подземелий  
   - **Совет**: Посетите вечером — виды на Пешт в свете особенно впечатляют.
3. **Проспект Андраши (Andrássy Avenue)**  
   - **Особенности**: Пешеходный бульвар в стиле парижских проспектов.  
   - **Достопримечательности**:  
     - Площадь Героев (Hősök tere)  
     - Театр оперы и балета  
     - Архитектурные фасады в стиле неоклассицизма и модерна
---
### 🍽️ **Венгерская кухня**
1. **VakVarjú (на крыше Будайского замка)**  
   - **Особенности**: Ресторан с панорамным видом на Пешт и Дунай.  
   - **Кухня**: Современная венгерская с элементами фьюжн.  
   - **Совет**: Закажите "гуляш с булочками" и венгерское вино.
2. **Bazár Várkert (у подножия Королевского дворца)**  
   - **Особенности**: Рыночный комплекс с уличной едой и ресторанами.  
   - **Рекомендации**:  
     - "Гуляш" в традиционной керамической миске  
     - "Палотас" — венгерский бутерброд с сыром и ветчиной  
     - "Добош" — сладкий пирог с творогом
3. **Mézes Kör (Мёдовый круг)**  
   - **Особенности**: Уютный ресторан в центре Пешта, известный своими традиционными блюдами.  
   - **Рекомендации**:  
     - "Суп из бобов с колбасой"  
     - "Халаш" — венгерский хлеб с сыром  
     - "Добош" с ванильным кремом
---
### 🗺️ **Совет по маршруту дня**
1. Утро: **Купальня Рудаш** (утренний свет в витражах)  
2. День: **Замковый район + Рыбацкий бастион** (панорама + экскурсия)  
3. Обед: **Bazár Várkерт** (вкусная уличная еда)  
4. Вечер: **Парламент + круиз по Дунаю** (подсвеченный город)  
5. Ужин: **VakVarjú** (панорама + венгерская кухня)
---
Если хотите, могу составить **подробный маршрут на 1–3 дня** с учётом времени, транспорта и бронирования.</t>
  </si>
  <si>
    <t>Hallucinated place; Unsupported factual claim; Wrong location within city</t>
  </si>
  <si>
    <t>Термы и архитектура — реальные. Критично: ресторан «Mézes Kör» не идентифицируется; Сечени указана «на берегу Дуная» (фактически Варошлигет); ссылка szechenyygyogyfurdo.hu нерабочая; Várkert Bazár описан как рынок уличной еды; описания блюд неверны («Добош — пирог с творогом», «Халаш — хлеб с сыром», «Палотас»). Смешение кириллицы и латиницы в тексте.</t>
  </si>
  <si>
    <t>Вот рекомендации по местам в Афинах, которые идеально сочетают античную историю, панорамные виды на город и возможность попробовать местную греческую кухню:
---
### 🏛️ **1. Акрополь Афин**  
- **Что посмотреть**: Главный символ древнегреческой цивилизации — храм Парфенон, Эрехтейон с портиком кариатид, храм Ники и Пропилеи.  
- **Виды**: Панорамный 360° вид на весь город с вершины холма. Особенно красив на закате.  
- **Местная еда**: Ресторан на вершине холма (часовня Святого Георгия) предлагает традиционные греческие блюда с видом на Акрополь.  
- **Совет**: Купите комбинированный билет (30 € на 5 дней) для посещения Акрополя и других музеев.  
- **Адрес**: Афинский Акрополь, Афины, Греция  
- **Ссылка**: [src_658dc90bf5](https://journest.app/athens-acropolis)
---
### 🏞️ **2. Холм Ликавитос**  
- **Что посмотреть**: Самая высокая точка Афин (277 м), с которой открывается великолепный вид на город, Акрополь и Средиземное море.  
- **Виды**: Панорама на 360° — идеально для фото и закатов.  
- **Местная еда**: На вершине — ресторан с традиционной греческой кухней (ламбаджия, мусака, тзазики).  
- **Доступ**: Подъём на фуникулёре или пешком по тропе.  
- **Адрес**: Улица Аристиппу, Колонаки, Афины  
- **Ссылка**: [src_f7567e59f4](https://journest.app/likavitos)
---
### 🏺 **3. Древняя Агора**  
- **Что посмотреть**: Сердце древнегреческой Афин — рынок, политический центр и место встреч. Здесь сохранился **Храм Гефеста** — один из лучших примеров древнегреческой архитектуры.  
- **Виды**: Вид на Акрополь с южной стороны.  
- **Местная еда**: Рядом — **Центральный рынок Варвакейос Агора**, где можно попробовать свежие продукты, сыр, оливки, фета и традиционные закуски.  
- **Совет**: Посетите **Стоа Аттала** — музей Агоры, где собраны археологические находки.  
- **Адрес**: Adrianou 24, Афины 105 55  
- **Ссылка**: [src_78eb6bb418](https://journest.app/ancient-athens-agora)
---
### 🏺 **4. Национальный археологический музей**  
- **Что посмотреть**: Один из крупнейших археологических музеев мира. Здесь хранятся **золотая маска Агамемнона**, **Антикитерский механизм** и другие уникальные экспонаты.  
- **Виды**: Прекрасный вид на город с террасы музея.  
- **Местная еда**: Рядом — рестораны в районе Плака, где подают блюда в стиле «гриль» и традиционные греческие закуски.  
- **Адрес**: 28–30, Пирейская улица, Афины  
- **Ссылка**: [src_3f27b266f8](https://journest.app/national-archaeological-museum)
---
### 🍽️ **5. Район Плака (Plaka)**  
- **Что посмотреть**: Старый город, улочки с винтажными домами, лавки с сувенирами и ресторанами.  
- **Виды**: Виды на Акрополь с улиц и террас.  
- **Местная еда**: Множество ресторанов с традиционной греческой кухней: **Oinomageia**, **To Koutouki**, **Kostas** — здесь подают мусаку, салаты, кебабы и домашние десерты.  
- **Совет**: Посетите вечером — атмосфера особенно волшебная.  
- **Адрес**: Район Плака, Афины  
- **Ссылка**: [src_78eb6bb418](https://journest.app/ancient-athens-agora)
---
### ✅ **Итоговая рекомендация по маршруту**:
1. Утро: **Акрополь** (с посещением музея и храма Парфенон).  
2. Обед: **Храм Гефеста** + прогулка по **Древней Агоре** + ужин в **Варвакейос Агора**.  
3. Вечер: Подъём на **Ликавитос** на закат, ужин в ресторане на вершине.  
4. Ночь: Прогулка по **Плаке** и дегустация местной еды.
---
Если хотите, могу помочь составить **подробный маршрут на день** или **рекомендации по отелям** в этих районах.</t>
  </si>
  <si>
    <t>Unsupported factual claim; Wrong location within city; Poor formatting</t>
  </si>
  <si>
    <t>Акрополь, Агора, Ликавитос, Плака — реальные и покрывают запрос. Критично: часовня Св. Георгия и ресторан на вершине отнесены к Акрополю (это Ликавитос); адрес Национального археологического музея неверен (фактически ул. Патисион 44); блюдо «ламбаджия» выдумано. В текст утекли сырые id источников (src_...), ссылки journest.app нерабочие.</t>
  </si>
  <si>
    <t>web_search(ok); web_search(ok); web_search(ok) | model_calls=2 tool_calls=3 grounded=true</t>
  </si>
  <si>
    <t>Here’s a curated 4-day travel plan for your trip to **Tbilisi**, focusing on **culture**, **authentic Georgian cuisine**, and **panoramic views**. The recommendations are based on up-to-date information from trusted sources.
---
### 🌆 **Day 1: Explore Old Town &amp; Cultural Heart**
**Focus:** History, architecture, and iconic landmarks.
- **Morning: Old Town Tbilisi**  
  Start your journey in the historic **Old Town**, a maze of cobbled streets, 19th-century townhouses, and hidden courtyards. Wander through **Sololaki** and **Shardeni Street**, known for its charming alleys and vibrant café culture.
- **Midday: Sioni Cathedral**  
  Visit the **Sioni Cathedral** (6th century), the spiritual heart of Tbilisi. Admire its ancient architecture and view the **Cross of St. Nino**, Georgia’s holiest relic.
- **Afternoon: Rustaveli Avenue &amp; National Museum**  
  Stroll down **Rustaveli Avenue**, Tbilisi’s grand boulevard. Stop by the **National Museum of Georgia** and the **Opera House**. The avenue is perfect for people-watching and soaking in the city’s energy.
- **Evening: Sunset at Narikala Fortress**  
  Head to **Narikala Fortress** (4th century) for panoramic views. Take the **cable car from Rike Park** (₾5) or hike up from **Abanotubani** (20 min). Best time: **one hour before sunset** for golden-hour photos.
---
### 🍽️ **Day 2: Georgian Food &amp; Culinary Immersion**
**Focus:** Authentic cuisine, traditional dining, and cultural experiences.
- **Lunch: Ethno Tsiskvili (A. Beliashvili St. 99)**  
  Dine at **Ethno Tsiskvili**, a cultural restaurant with a natural waterfall and traditional Georgian decor. Enjoy **khachapuri**, **khinkali**, and **barbecue**. Don’t miss the **live folk music and dance performances** (20:00–00:00).
- **Afternoon: Vakhtanguri Restaurant (Old Town)**  
  Visit **Vakhtanguri**, a beloved local institution since 1993. Try their famous **chebureki** (spiced meat turnovers) and other family-recipe dishes. The atmosphere is warm and nostalgic.
- **Evening: Wine Tasting in the Old Town**  
  Explore **wine bars** along **Shardeni Street** or **Tbilisi’s underground wine cellars** (like **Nikoloz’s Cellar**). Sample **Saperavi**, **Rkatsiteli**, and other local varietals.
---
### 🌄 **Day 3: Panoramic Views &amp; Mountain Vibes**
**Focus:** Elevated city views, parks, and relaxation.
- **Morning: Mtatsminda Park &amp; Funicular**  
  Take the **funicular** from **Rustaveli Avenue** to **Mtatsminda Park**. Enjoy the ride and the **observation deck** with sweeping views of Tbilisi, the Kura River, and the Greater Caucasus Range.
- **Midday: Ferris Wheel &amp; Cafés**  
  Ride the **Ferris wheel** for a 360° view. Grab a coffee at one of the park’s cafés and enjoy the mountain breeze.
- **Afternoon: Bridge of Peace &amp; Kura River Walk**  
  Walk across the **Bridge of Peace**, a modern architectural gem. Stroll along the **Kura River** and enjoy views of the city skyline.
- **Evening: Dinner at Tsiskvili Terrace (Z. Gamsakhurdia Embankment)**  
  Dine with a view at **Tsiskvili Terrace**, a riverside restaurant offering panoramic city views and excellent Georgian cuisine.
---
### 🏛️ **Day 4: Museums, Monuments &amp; Final Impressions**
**Focus:** Culture, history, and memorable souvenirs.
- **Morning: Chronicles of Georgia &amp; Art Palace**  
  Visit **Chronicles of Georgia**, a museum dedicated to Georgia’s history and national identity. Then explore the **Art Palace of Georgia – Museum of Cultural History** for insights into Georgian art and traditions.
- **Midday: Rezo Gabriadze Marionette Theater**  
  Watch a performance at the **Rezo Gabriadze Marionette Theater**, a unique cultural gem in the Old Town. The puppet shows are both artistic and deeply rooted in Georgian folklore.
- **Afternoon: Final Walk &amp; Souvenirs**  
  Take a final walk through **Old Town**, pick up souvenirs like **Georgian wine**, **pomegranate molasses**, or **handmade ceramics** from local shops.
- **Evening: Farewell Dinner at Wine Yard (A. Beliashvili St. 99)**  
  End your trip with a relaxed dinner at **Wine Yard**, another gem in the Tsiskvili Group, known for its cozy atmosphere and excellent wine pairings.
---
### 📌 **Tips for Your Trip:**
- **Best Time to Visit:** Spring (April–June) or early autumn (September–October) for pleasant weather.
- **Transport:** Use the **funicular**, **cable car**, or **walk**—Tbilisi is very walkable.
- **Currency:** Georgian Lari (GEL). ATMs are widely available.
- **Travel Insurance:** Mandatory since 2026 (as per recent regulations).
---
Enjoy your unforgettable journey through **Tbilisi**—a city where ancient history, vibrant culture, and breathtaking views come together in perfect harmony. 🇬🇪✨</t>
  </si>
  <si>
    <t>Low relevance; Unsupported factual claim; Hallucinated place</t>
  </si>
  <si>
    <t>Here is a curated list of places in Yerevan that offer a rich experience in **history**, **Armenian cuisine**, and **contemporary art**, based on the latest available information:
---
### 🏺 **Historical Sites in Yerevan**
1. **Erebuni Fortress &amp; Museum-Reserve**  
   - **Location**: Southeastern suburbs of Yerevan  
   - **Significance**: Founded in 782 BC by King Argishti I of Urartu, Erebuni is the oldest known foundation of Yerevan. The name "Yerevan" itself derives from "Erebuni."  
   - **Highlights**: Ancient ruins, archaeological museum, panoramic views of the city.  
   - **Visit Tip**: Combine with a visit to the adjacent **Erebuni Museum of History** (separate entry fee).  
   - **Website**: [Erebuni Museum](https://en.wikipedia.org/wiki/Erebuni_Fortress)  
   - **Address**: Erebuni District, Yerevan, Armenia  
2. **Katoghike Church (Holy Mother of God Church)**  
   - **Location**: Kentron District, central Yerevan  
   - **Significance**: A 13th-century medieval church discovered during the demolition of a 17th-century basilica in 1936. It’s one of the oldest surviving churches in the city.  
   - **Highlights**: Historical preservation, ancient khachkars (cross-stones), and architectural resilience.  
   - **Address**: Kentron District, Yerevan, Armenia  
---
### 🍽️ **Best Places for Armenian Cuisine**
1. **The Club**  
   - **Location**: Tumanyan 40, Yerevan  
   - **Cuisine**: Modern Armenian (New Armenian Cuisine)  
   - **Highlights**:  
     - Zero-waste restaurant using locally sourced ingredients.  
     - Seasonal menu with innovative dishes inspired by Armenian highland traditions.  
     - Wine cellar featuring wines from the Vayots Dzor region.  
     - Hosts cultural events: concerts, lectures, book presentations.  
   - **Ambience**: Intimate, artistic, and sustainable.  
   - **Hours**: Daily 13:00–23:30  
   - **Contact**: +374 10 531361 | [Website](https://theclub.am)  
---
### 🎨 **Contemporary Art Spaces in Yerevan**
1. **Cafesjian Center for the Arts (CCA)**  
   - **Location**: The Cascade Complex, Yerevan  
   - **Highlights**:  
     - Dedicated to modern and contemporary art from Armenia and globally.  
     - Features exhibitions from the **Cafesjian Art Trust**, including works by renowned artists.  
     - Offers lectures, film screenings, concerts, and educational programs.  
   - **Architecture**: Housed in the iconic **Cascade**, a monumental stairway complex designed by architect Alexander Tamanyan.  
   - **Address**: Cascade Complex, Yerevan, Armenia  
   - **Website**: [www.cmf.am](https://www.cmf.am)  
2. **Esquisse Gallery**  
   - **Location**: Sayat-Nova 5, Yerevan  
   - **Focus**: International contemporary art and emerging Armenian artists.  
   - **Highlights**:  
     - Promotes cross-cultural dialogue through exhibitions.  
     - Showcases artists with global recognition.  
   - **Contact**: +374 95 555109  
   - **Website**: [esquissegallery.com](https://esquissegallery.com)  
3. **Gala Art Gallery**  
   - **Location**: Yerevan (exact address not specified, but active in the city center)  
   - **Focus**: Modern and contemporary paintings, sculpture, and pottery by over 40 Armenian artists.  
   - **Founded**: 2012 by Avetis Berberyan and Noushik Mikayelian.  
   - **Website**: [gala-artgallery.am](https://gala-artgallery.am)  
4. **Two Arcs Art Space**  
   - **Location**: 5 Sayat-Nova Avenue, Yerevan  
   - **Highlights**: A dynamic space for contemporary art exhibitions and artist residencies.  
   - **Contact**: +374 43 490 490 | [Website](https://www.twoarcs.am)  
5. **ARAR Gallery**  
   - **Location**: Abovyan 13, Yerevan  
   - **Focus**: Experimental and socially engaged contemporary art.  
   - **Notable Projects**: Collaborations with the IPBA Foundation to bring art to public spaces.  
   - **Website**: [arargallery.com](https://arargallery.com)  
---
### ✅ **Suggested Itinerary for a Cultural Day in Yerevan**
1. **Morning**: Visit **Erebuni Fortress** and **Erebuni Museum** (history).  
2. **Lunch**: Enjoy authentic Armenian cuisine at **The Club** (culinary experience).  
3. **Afternoon**: Explore **Cafesjian Center for the Arts** (contemporary art).  
4. **Evening**: Stroll through **The Cascade**, then visit **Esquisse Gallery** or **ARAR Gallery** for a night of art and culture.
---
Let me know if you’d like help booking tickets, planning a multi-day trip, or finding accommodations near these sites!</t>
  </si>
  <si>
    <t>Missing important category; Unsupported factual claim</t>
  </si>
  <si>
    <t>Here are top recommendations in Almaty that combine **breathtaking mountain views**, **authentic local Kazakh cuisine**, and **modern cultural experiences**:
---
### 🏔️ 1. **Kok-Tobe Hill (Kok-Tobe)**
- **Mountain Views**: Offers panoramic vistas of Almaty and the surrounding Tian Shan mountains. The cable car ride (6 minutes) from Dostyk Avenue provides a scenic ascent.
- **Modern Culture**: Home to the **Almaty TV Tower (372m)**, a **Beatles monument**, a mini-zoo, amusement rides, and a vibrant promenade with cafes and shops.
- **Local Food**: Try traditional Kazakh dishes like *beshbarmak*, *kumis*, and *samsa* at the hilltop restaurants.
- **Best Time to Visit**: Sunset for stunning city lights and mountain silhouettes.
- **Access**: Cable car (~2,000 KZT round-trip for adults). Open April–June and September–October for optimal weather.
---
### 🌲 2. **Big Almaty Lake (Bolshoy Almaty Lake)**
- **Mountain Views**: Nestled in a high-altitude basin (2,500m), surrounded by snow-capped peaks. Ideal for hiking and photography.
- **Local Food**: Nearby mountain lodges and picnic spots serve *kazy* (horse meat), *shashlik*, and homemade bread.
- **Modern Culture**: Part of the city’s outdoor recreation network; increasingly popular with locals and tourists for weekend getaways.
- **Access**: About 30 minutes from downtown by car. Road climbs steeply—best visited on weekdays to avoid weekend crowds.
---
### 🏞️ 3. **Medeu Skating Rink &amp; Shymbulak Ski Resort**
- **Mountain Views**: Medeu is a high-altitude ice rink (1,690m), with the Shymbulak cable car offering access to alpine trails and panoramic views.
- **Local Food**: Cafés at Shymbulak serve hearty Kazakh meals and modern fusion dishes with mountain views.
- **Modern Culture**: Shymbulak is a hub for winter sports and summer hiking. The resort hosts cultural events and music festivals in summer.
- **Best Time to Visit**: Winter (Jan–Mar) for skiing; summer (June–Sept) for hiking and mountain biking.
- **Access**: Public bus to Medeu (affordable and frequent), then cable car to Shymbulak.
---
### 🍽️ 4. **Green Market (Zelyony Bazaar) &amp; Side Streets of Almaty**
- **Local Food**: The heart of Almaty’s culinary scene. Sample *beshbarmak*, *kazy*, *kumis*, *baursaki*, and fresh fruit juices.
- **Modern Culture**: Trendy cafés and street art blend traditional and contemporary styles. Great for people-watching and cultural immersion.
- **Mountain Views**: While not directly mountain-facing, the market is located near the city’s edge, with distant views of the Tian Shan range.
---
### 🌆 5. **Panfilov Park &amp; Central Almaty**
- **Mountain Views**: Located on the city’s western edge, offering clear sightlines to the mountains.
- **Modern Culture**: Hosts open-air concerts, art installations, and seasonal festivals. The park is a social hub with modern cafes and bookshops.
- **Local Food**: Numerous restaurants serve modern Kazakh fusion cuisine, including innovative takes on traditional dishes.
---
### ✅ Summary: Best for Your Interests
| Interest | Top Recommendation |
|--------|-------------------|
| Mountain Views | Kok-Tobe Hill &amp; Big Almaty Lake |
| Local Food | Green Market &amp; Shymbulak cafés |
| Modern Culture | Kok-Tobe promenade &amp; Panfilov Park |
For a full-day experience:  
**Start at Kok-Tobe for views and culture → Head to Big Almaty Lake for hiking and local food → End at Panfilov Park for a relaxed evening.**
Let me know if you’d like help planning a route, booking a cable car ticket, or finding specific restaurants!</t>
  </si>
  <si>
    <t>Wrong location within city; Missing important category; Unsupported factual claim</t>
  </si>
  <si>
    <t>Here is a curated list of top places in Baku that combine **architecture**, **Caspian Sea views**, and **authentic Azerbaijani cuisine**, based on recent travel guides and local recommendations:
---
### 🏛️ **1. Baku Old City (İçərişəhər)**
- **Architecture**: A UNESCO World Heritage Site, this medieval walled city features ancient caravanserais, mud-brick houses, and the iconic **Maiden Tower** (12th century), a symbol of Baku.
- **Views**: While not directly on the Caspian Sea, the Old City offers panoramic views of the city skyline and the sea in the distance.
- **Cuisine**: Explore traditional restaurants like **Məhəbbət** or **Khan’s Kitchen** for authentic Azerbaijani dishes such as *plov*, *dolma*, and *qutab*.
---
### 🌊 **2. Baku Boulevard (Neftchilar Avenue)**
- **Architecture**: A modern waterfront promenade lined with striking contemporary buildings, including the **Flame Towers** and **Heydar Aliyev Center** (designed by Zaha Hadid).
- **Views**: Direct, unobstructed views of the **Caspian Sea** — especially stunning at sunset when the Flame Towers glow behind the water.
- **Cuisine**: 
  - **SAHiL Restaurant** (on the boulevard): Renowned for its fresh **Caspian Sea fish**, traditional Azerbaijani dishes, and terrace seating with sea views. Ideal for lunch or dinner.
---
### 🏛️ **3. Heydar Aliyev Center**
- **Architecture**: A masterpiece of modern architecture with flowing, futuristic curves. A cultural hub housing exhibitions, events, and art installations.
- **Views**: Located near the Caspian Sea, offering sweeping views of the coastline and the Flame Towers.
- **Cuisine**: Nearby cafes and restaurants like **Café 1900** (inside the complex) serve modern Azerbaijani fusion cuisine.
---
### 🏛️ **4. Carpet Museum (Baku)**
- **Architecture**: Housed in a striking modern building on Baku Boulevard, designed with traditional Azerbaijani motifs.
- **Views**: Direct access to the **Baku Boulevard** and the Caspian Sea.
- **Cuisine**: Adjacent to **SAHiL Restaurant**, making it a perfect combo visit — enjoy a museum tour followed by a meal with sea views.
---
### 🍽️ **5. Qafqaz Restaurant (Old City)**
- **Architecture**: Located in a restored 19th-century building within the Old City, blending historical charm with modern interiors.
- **Views**: Offers a quiet, atmospheric setting with views of the city’s ancient rooftops and distant sea.
- **Cuisine**: Specializes in **authentic Azerbaijani cuisine** — try *piti*, *dushbara*, and *shekerbura*. Known for its traditional recipes and warm hospitality.
---
### 🌅 **6. Flame Towers &amp; Surrounding Areas**
- **Architecture**: Iconic skyscrapers with dynamic LED lighting, representing Baku’s modern identity.
- **Views**: Best at night when the towers light up and reflect on the Caspian Sea.
- **Cuisine**: 
  - **Café 1900** (inside the Flame Towers complex): Offers a refined dining experience with Azerbaijani and international dishes.
  - **Baku Seafood House** (nearby): Famous for fresh **Caspian fish**, grilled kebabs, and seafood platters.
---
### 🍲 **7. Local Teahouses (e.g., Mirzaagha Aliyev Teahouse)**
- **Architecture**: Traditional Azerbaijani teahouses with wooden interiors, clay stoves, and vintage decor.
- **Views**: Often located in quiet corners of the city, some offer views of the sea or green spaces.
- **Cuisine**: Sip **black tea from armuda (pear-shaped) glasses** and enjoy **lavash wraps**, **qutab**, and **caviar with warm bread** — a true cultural experience.
---
### ✅ **Tips for Your Visit:**
- **Best Time to Visit**: Late afternoon to evening for the most beautiful Caspian Sea views and golden-hour lighting on the Flame Towers.
- **Dining Reservations**: Recommended for **SAHiL** and **Qafqaz** due to high demand.
- **Transport**: Use the Baku Metro or ride-hailing apps to easily navigate between the Old City, Boulevard, and modern districts.
---
This list offers a perfect blend of **historical depth**, **modern design**, **breathtaking sea vistas**, and **gourmet Azerbaijani flavors** — a true journey through Baku’s soul.</t>
  </si>
  <si>
    <t>Hallucinated place; Wrong location within city</t>
  </si>
  <si>
    <t>Ичери-Шехер, Девичья башня, Приморский бульвар, Flame Towers, Музей ковра — реальные, Заха Хадид указана верно. Критично: Центр Гейдара Алиева описан как расположенный у моря с видами на побережье — он в глубине города; Flame Towers и Центр отнесены к застройке бульвара. Рестораны (Café 1900, Baku Seafood House, Məhəbbət) не подтверждаются, при этом Café 1900 в одном ответе размещён и в Центре Алиева, и во Flame Towers.</t>
  </si>
  <si>
    <t>Составь список мест в Казани с татарской кухней и прогулок у воды.</t>
  </si>
  <si>
    <t>Вот список мест в Казани, где можно насладиться татарской кухней и насладиться прогулками у воды:
---
### 🍽️ **Места с татарской кухней**
1. **Ресторан Tatar by Tubetey**  
   - **Адрес**: ул. Шигабутдина Марджани, 10, Казань  
   - **Особенности**:  
     - Двухэтажный халяльный ресторан с авторской татарской кухней.  
     - Вдохновлён культурой Татарстана: интерьер, орнаменты, живописный вид на озеро Кабан.  
     - Блюда в современной интерпретации: кыстыбый со свеклой и тыквенными семечками, чпочмаки с семгой, пельмени с уткой, равиоли в форме треугольников.  
     - Рядом — станция метро «Площадь Тукая».  
   - **Ссылка**: [src_6866d6032d](src_6866d6032d)
2. **Ресторан «Аулак»**  
   - **Адрес**: Казанский Кремль (внутри исторической зоны)  
   - **Особенности**:  
     - Кофейня и место для традиционного завтрака с элементами татарской кухни.  
     - Подходит для начала знакомства с городом и кулинарией.  
     - Атмосфера, сочетающая историю и современность.  
   - **Ссылка**: [src_a0f370bf66](src_a0f370bf66)
3. **Ресторан «Гавань Вилл»**  
   - **Адрес**: берег Волги, Казань (улица, прилегающая к набережной)  
   - **Особенности**:  
     - Ресторан высокой кухни с большой террасой у воды.  
     - Идеально для завтраков, ужинов на закате и романтических вечеров.  
     - Уникальное пространство с видом на реку — редкость в Казани.  
   - **Ссылка**: [src_328f1e4202](src_328f1e4202)
---
### 🌿 **Прогулки у воды**
1. **Озеро Кабан (Нижний Кабан)**  
   - **Местоположение**: рядом с рестораном Tatar by Tubetey  
   - **Особенности**:  
     - Прогулочные дорожки, живописные виды, тихая атмосфера.  
     - Подходит для утренних или вечерних прогулок, фото и отдыха.  
     - Рядом — кафе и рестораны, включая Tatar by Tubetey.
2. **Река Казанка — речная прогулка «Вечерняя Казань»**  
   - **Маршрут**: современный теплоход «Мария Ермолова»  
   - **Особенности**:  
     - Атмосферная прогулка по вечерней Казани.  
     - Вид на достопримечательности города с воды: Кремль, мосты, набережные.  
     - Подходит для романтических вечеров, встреч с друзьями.  
   - **Ссылка**: [src_99a275e73a](src_99a275e73a)
3. **Набережная Волги (улица Кремлёвская)**  
   - **Особенности**:  
     - Просторная, благоустроенная территория с видом на реку.  
     - Подходит для прогулок, велопрогулок, отдыха на скамейках.  
     - Рядом — рестораны, кафе, культурные объекты.
---
### 📌 **Совет по маршруту дня**  
1. Утро: завтрак в **«Аулаке»** (Казанский Кремль).  
2. День: прогулка по **Кремлю** и **Старо-Татарской слободе**.  
3. Вечер: ужин в **Tatar by Tubetey** с видом на озеро Кабан.  
4. Ночь: речная прогулка по **Казанке** — «Вечерняя Казань».
---
Если хотите, могу помочь составить маршрут с учётом времени, транспорта или бронирования.</t>
  </si>
  <si>
    <t>Wrong location within city; Poor formatting</t>
  </si>
  <si>
    <t>Обе категории покрыты, формат списка соблюдён. Tatar by Tubetey и озеро Кабан — реальные и корректно связаны. «Набережная Волги (улица Кремлёвская)» — путаница: Кремлёвская набережная идёт вдоль Казанки. Заведения «Аулак» и «Гавань Вилл» не подтверждаются. В тексте нерабочие ссылки вида [src_6866d6032d].</t>
  </si>
  <si>
    <t>Вот рекомендации по местам в Ташкенте, которые соответствуют вашему запросу: советская архитектура, рынки и узбекская кухня.
---
### 🏛️ **Места с советской архитектурой**
Ташкент — один из самых ярких примеров советского модернизма в Центральной Азии. После землетрясения 1966 года город был восстановлен с участием архитекторов со всей СССР, что привело к созданию уникального архитектурного наследия.
- **Дворец Дружбы Народов**  
  Одно из самых знаковых зданий Ташкента. Построен в 1980-х годах, сочетает в себе элементы советского модернизма и национальных узбекских мотивов. Идеально подходит для прогулок и фото.
- **Национальная библиотека имени Алишера Навои**  
  Здание в стиле советского модернизма с геометрическими формами и крупными стеклянными фасадами. Расположена в центре города, рядом с площадью Независимости.
- **ЦУМ (Центральный универмаг)**  
  Классическое советское здание с архитектурной выразительностью, построенное в 1970-х годах. Сегодня — часть торгового комплекса, но сохранило свой исторический облик.
- **Набережная канала Анхор**  
  Архитектурное пространство с элементами 70–80-х годов: скульптуры, пешеходные зоны, зелёные зоны. Отличное место для прогулок с видом на канал и город.
---
### 🛒 **Рынки**
- **Рынок «Чорсу»**  
  Один из самых известных и живых рынков Ташкента. Исторически — часть Великого шёлкового пути. Современный облик сформировался в 1980–1990-х годах: огромные купольные постройки, подземные коридоры, яркие лавки.  
  - **Что купить**: пряности, орехи, сухофрукты, восточные сладости, лепёшки, ткани.  
  - **Атмосфера**: шумная, живая, аутентичная.  
  - **Как добраться**: станция метро «Чорсу» (открыта в 1989 году, прямо под рынком).
---
### 🍛 **Узбекская кухня**
Попробуйте традиционные блюда в местных кафе и ресторанах, особенно вблизи рынка «Чорсу» и в центре города.
- **«Chorsu Bazaar Restaurant»**  
  Ресторан прямо на территории рынка «Чорсу». Подает блюда в традиционной обстановке: лепёшки, плов, шурпа, манты, салаты.  
  - **Рекомендуем**: плов с бараниной, шурпа с курицей, лепёшки из печи.
- **«Mehmonxona» (Гостиница)**  
  Уютное кафе в центре Ташкента, где готовят по-настоящему домашнюю узбекскую кухню.  
  - **Рекомендуем**: халва, чорба, шафрановый пирог.
- **«Samarqand»**  
  Ресторан с архитектурой в духе старинного узбекского дворца. Подходит для гастрономического путешествия по Узбекистану.  
  - **Рекомендуем**: плов по-самаркандски, манты с телятиной, чай с мятой.
---
### 🗺️ **Советы по посещению**
- Лучшее время для посещения рынка — утро (с 8:00 до 12:00), когда свежие продукты только поступают.
- Для архитектурных прогулок — дневное время, чтобы увидеть фасады в лучшем свете.
- Носите удобную обувь — рынки и старые кварталы требуют много ходьбы.
---
Если хотите, я могу составить маршрут на день, включающий все эти места, или помочь с бронированием кафе/гостиницы.</t>
  </si>
  <si>
    <t>Hallucinated place; Unsupported factual claim; Missing important category</t>
  </si>
  <si>
    <t>Советская архитектура раскрыта хорошо и достоверно (Дворец Дружбы Народов, библиотека Навои, ЦУМ, Анхор). Критично: «Mehmonxona» — это узбекское слово «гостиница», выдано за название кафе; «Chorsu Bazaar Restaurant» и «Samarqand» не подтверждаются; рекомендованные блюда (халва, чорба, шафрановый пирог) не соответствуют узбекской кухне. Метро «Чорсу» открыто в 1980, а не в 1989. Рынки представлены единственным объектом.</t>
  </si>
  <si>
    <t>Here is a well-structured one-day walking route in Budapest that combines iconic architecture, scenic Danube River views, and two relaxing cafe breaks, based on current information:
---
### 🌆 **One-Day Walking Route in Budapest: Architecture, River Views &amp; Cafe Breaks**
**Theme:** A scenic, immersive journey through Budapest’s historic heart, blending grand architecture, panoramic river vistas, and moments of relaxation.
---
#### 🕘 **Morning: Buda Castle District &amp; Fisherman’s Bastion (8:00 AM – 11:00 AM)**
- **Start at:** **Fisherman’s Bastion (Halászbástya)**  
  - *Why:* Offers the most breathtaking panoramic view of the Danube, Parliament, and Pest skyline. Arrive early (8:00 AM) to enjoy soft morning light and fewer crowds.
  - *Architecture Highlight:* Neo-Romanesque towers with intricate stonework and symbolic sculptures.
  - *Tip:* The lower terraces are free to access and provide equally stunning views.
- **Walk to:** **Buda Castle (Budavári Palota)**  
  - A short descent from Fisherman’s Bastion. Explore the castle’s courtyards and the **Budapest History Museum** (optional, if time allows).
- **Next:** **Castle Hill Funicular (Budavári Sikló)**  
  - Ride the historic funicular down to the Pest side (10-minute ride) for a smooth transition.
---
#### 🕘 **Midday: Danube Embankment &amp; Hungarian Parliament (11:00 AM – 1:00 PM)**
- **Walk along the Danube Embankment (Duna-korzó)**  
  - Enjoy a scenic riverside stroll with views of the **Chain Bridge (Széchenyi Lánchíd)** and the city skyline.
- **Stop at:** **Hungarian Parliament Building (Országház)**  
  - *Architecture Highlight:* One of the largest and most beautiful Neo-Gothic buildings in the world.
  - *Important:* **Tours are required** and must be booked in advance via the official website: [parlament.hu](https://www.parlament.hu).  
    - Tours start at 8:00 AM (best for fewer crowds).
    - Duration: ~45–60 minutes.
    - Tickets: ~$49 (book via GetYourGuide or official site).
  - *Pro Tip:* After the tour, walk south along the river to the **Shoes on the Danube Memorial** (15-minute walk), a poignant tribute to Holocaust victims.
---
#### ☕ **First Cafe Break: Dunapark Café (1:00 PM – 2:00 PM)**  
- **Location:** 38–40 Pozsonyi Road, Újlipótváros (Pest side), near Szent István Park.
- **Why:** A historic Art Deco café with elegant interiors, expansive park views, and a rich architectural legacy (built 1935–1937).
- **Experience:** Sip coffee or enjoy a light lunch in a beautifully restored space that blends modern and vintage charm.
- **Access:** Easy to reach from the Parliament via a 15-minute walk through the park.
---
#### 🕘 **Afternoon: Pest’s Historic Heart &amp; River Promenade (2:00 PM – 5:00 PM)**
- **Walk to:** **Liberty Square (Szabadság tér)**  
  - A central, open green space with monuments, fountains, and benches — perfect for a relaxed pause.
- **Continue along:** **Andrássy Avenue**  
  - A UNESCO World Heritage site lined with grand buildings, shops, and cafes. Walk toward **Heroes’ Square (Hősök tere)**.
- **Final River View Stop:** **Vasmacska Terrace (Vasmacska Terasz)**  
  - **Location:** 1 Fékező Street, Budafok (on the Danube bank).
  - **Why:** A unique floating terrace above the Danube, offering intimate views of the river, passing boats, and golden sunsets.
  - **Experience:** Ideal for a late afternoon coffee or drink. The atmosphere is magical, especially in the evening.
  - **Note:** Open daily; reservations recommended during peak season.
---
#### 🌇 **Evening: Sunset &amp; Final Views (5:00 PM – 7:00 PM)**
- **Walk back along the Danube Embankment** toward the Chain Bridge.
- **End at:** **Chain Bridge (Széchenyi Lánchíd)**  
  - Return at dusk to witness the bridge illuminated — a truly unforgettable sight.
- **Optional:** Enjoy a drink at a nearby ruin bar (e.g., Szimpla Kert) if you’d like to extend the evening.
---
### ✅ **Summary of Key Features**
| Feature | Included |
|--------|----------|
| Iconic Architecture | Fisherman’s Bastion, Parliament, Dunapark, Andrássy Avenue |
| Danube River Views | Throughout the route, especially at Fisherman’s Bastion, Chain Bridge, and Vasmacska Terrace |
| Cafe Breaks | Dunapark Café (midday), Vasmacska Terrace (afternoon/evening) |
| Walking Distance | ~10–12 km (moderate pace, with breaks) |
| Best Time to Visit | Early morning (to avoid crowds), late afternoon for golden light |
---
### 📌 **Tips for Your Visit**
- **Book Parliament tours in advance** — especially in summer.
- **Wear comfortable shoes** — the route involves cobblestones and hills.
- **Bring a light jacket** — evenings by the river can be cool.
- **Use public transport or walk** — Budapest is very walkable, and the Danube is central to the route.
Enjoy your unforgettable day in Budapest! 🇭🇺✨</t>
  </si>
  <si>
    <t>Bad route logic; Wrong location within city</t>
  </si>
  <si>
    <t>Все ограничения формально учтены (пешком, архитектура, виды, две кофе-паузы). Маршрут ломается в финале: после площади Героев предложена терраса Vasmacska в Будафоке (~10 км от центра, реальный ресторан находится в Обуде), а затем пеший возврат к Цепному мосту — нереализуемо. Фуникулёр Будайской крепости спускает на будайскую сторону, а не в Пешт, и едет ~1,5 мин, а не 10. Заявленные 10–12 км сильно занижены.</t>
  </si>
  <si>
    <t>### **Relaxed One-Day Route Through Prague Old Town: Historical Sights &amp; Lunch**
This thoughtfully curated one-day itinerary blends Prague’s most iconic historical landmarks with a leisurely pace and a memorable lunch in a historic setting. The route is designed for walking, with logical flow and time for reflection, photography, and cultural immersion.
---
### **Morning: Arrival &amp; Old Town Square Exploration (9:00 AM – 11:30 AM)**
**1. Start at Old Town Square (Staroměstské náměstí)**  
- **Highlights**:  
  - **Astronomical Clock (Orloj)**: Witness the hourly show (9:00–23:00) where the 12 apostles parade through the clock’s windows. Arrive 5 minutes early for the best view.  
  - **Jan Hus Memorial**: A towering bronze statue honoring the 15th-century religious reformer, unveiled in 1915.  
  - **Crosses on the Pavement**: Markers where 27 Bohemian leaders were executed after the Battle of White Mountain (1621).  
  - **Old Town Hall Tower**: Climb the 438 steps (optional) for panoramic views of the city.
**2. Walk to the Powder Tower (11:30 AM)**  
- **Historical Note**: Built in 1475 as one of the original 13 city gates. Once used to store gunpowder, it marks the beginning of the Royal Route used by Bohemian kings during coronations.  
- **Tip**: Admire the Gothic architecture and the view toward Charles Bridge.
---
### **Midday: Lunch in a Historic Ambiance (12:00 PM – 1:30 PM)**
**3. Lunch at Restaurant Století (Karolíny Světlé 21/320, Prague 1)**  
- **Why it fits**: Located in a former stable complex, the restaurant preserves original architectural features like niches and a 1858 wooden snake (former pharmacy sign) hanging from the ceiling.  
- **Cuisine**: Authentic Czech dishes with a modern twist — try *goulash*, *svíčková*, or *trdelník* for dessert.  
- **Ambiance**: Earthy tones, period decor, and a cozy fireplace. Ideal for a relaxed, cultural lunch.  
- **Hours**: 11:30 AM – 10:00 PM (open daily).  
- **Pro Tip**: Request a table near the window for views of the nearby Rotunda of St. Cross.
---
### **Afternoon: Charles Bridge &amp; Malá Strana (2:00 PM – 5:00 PM)**
**4. Cross Charles Bridge (2:00 PM)**  
- **Historical Note**: Built between 1357–1402, this iconic stone bridge connects Old Town with Malá Strana.  
- **Statues**: 30 Baroque statues line the bridge, including St. John of Nepomuk (a lucky charm for travelers).  
- **Views**: Enjoy sweeping vistas of the Vltava River, Prague Castle, and the city skyline.
**5. Explore Malá Strana (Lesser Town)**  
- **Highlights**:  
  - **St. Nicholas Church (Kostel sv. Mikuláše)**: A stunning Baroque masterpiece with a grand interior and panoramic views from the dome.  
  - **Prague Castle Complex**: Walk through the castle grounds (optional entry to St. Vitus Cathedral or the Royal Garden).  
  - **Golden Lane**: A charming row of tiny houses, once home to castle guards and alchemists.
---
### **Optional Evening (5:30 PM Onward)**  
- **Wenceslas Square (Václavské náměstí)**: A grand boulevard lined with shops, cafes, and 20th-century architecture.  
- **Sunset View**: Return to Charles Bridge for a peaceful evening walk as the city lights up.
---
### **Summary of Key Details**
| Time | Activity | Location |
|------|--------|--------|
| 9:00–11:30 AM | Old Town Square &amp; Astronomical Clock | Staroměstské náměstí |
| 11:30 AM | Powder Tower | Eastern entrance to Old Town |
| 12:00–1:30 PM | Lunch | Restaurant Století |
| 2:00–5:00 PM | Charles Bridge &amp; Malá Strana | Across the Vltava River |
| 5:30 PM+ | Optional: Wenceslas Square | Václavské náměstí |
---
### **Tips for a Relaxed Experience**
- Wear comfortable walking shoes.  
- Bring a light jacket — mornings and evenings can be cool.  
- Use the **interactive walking tour map** (available on [Nomads Travel Guide](https://www.nomads-travel-guide.com)) to track your route.  
- Avoid peak hours (11:00–13:00) at the Astronomical Clock to reduce crowds.
Enjoy your journey through Prague’s timeless heart! 🏰✨</t>
  </si>
  <si>
    <t>Ignored constraints; Bad route logic</t>
  </si>
  <si>
    <t>Факты по Староместской площади, Пороховой башне и Карлову мосту точны (1475, 27 казнённых, часы Орлоя). Restaurant Století реален и уместен. Но запрос был про спокойный день по Старому городу, а план уводит в Малую Страну, к Пражскому Граду и Золотой улочке — подъём и заметный выход за рамки; Пороховая башня даёт крюк на восток перед обедом на западе. 438 ступеней Староместской ратуши не подтверждаются.</t>
  </si>
  <si>
    <t>Here is a well-structured one-day route in Paris focused on Impressionist art and a scenic walk along the Seine River:
---
### 🌸 **One-Day Impressionist Art &amp; Seine River Route in Paris**
**Theme:** Art, history, and riverside charm  
**Duration:** 1 full day (approx. 10 hours)  
**Best time to visit:** Spring or early autumn (pleasant weather, fewer crowds)  
**Transport:** Walking + metro (consider a Paris Visite pass for zones 1–3)
---
#### 🕘 **Morning: Musée d'Orsay – Heart of Impressionism**
- **Time:** 9:00 AM – 11:30 AM  
- **Location:** Esplanade Valéry Giscard d'Estaing, 75007 Paris  
- **Highlights:**
  - Explore the world’s most comprehensive collection of Impressionist and Post-Impressionist masterpieces.
  - Must-see works: Monet’s *Water Lilies*, Van Gogh’s *Starry Night Over the Rhône*, Renoir’s *Bal du Moulin de la Galette*, and Degas’ *The Dance Class*.
- **Tips:**
  - **Book timed tickets online in advance** to avoid queues (€16 online, €17 at the door).
  - The museum is closed on Mondays.
  - Allow 2 hours to enjoy the highlights without rushing.
---
#### 🚶‍♂️ **Mid-Morning: Seine River Walk &amp; Pont des Arts**
- **Time:** 11:45 AM – 12:30 PM  
- **Route:** From Musée d'Orsay → Pont des Arts → Île de la Cité  
- **Highlights:**
  - Stroll along the Seine’s Left Bank, passing historic bridges and riverside cafés.
  - Walk across the **Pont des Arts**, a romantic pedestrian bridge with views of the Louvre, Notre-Dame, and the Eiffel Tower in the distance.
  - Take photos at the bridge’s famous “love locks” (note: some locks have been removed; the area is now more open and scenic).
---
#### 🍽️ **Lunch: Saint-Germain-des-Prés Quarter**
- **Time:** 12:45 PM – 1:45 PM  
- **Location:** Rue de Seine or Place Saint-Germain-des-Prés  
- **Suggestions:**
  - **Café de Flore** – Historic café where philosophers like Sartre and de Beauvoir once met.
  - **Le Procope** – Paris’s oldest café, dating back to 1686.
  - Try a classic French bistro meal: croque-monsieur, ratatouille, or a fresh salad with goat cheese.
---
#### 🕘 **Afternoon: Saint-Germain-des-Prés &amp; Saint-Sulpice**
- **Time:** 2:00 PM – 4:00 PM  
- **Highlights:**
  - Explore the **Church of Saint-Germain-des-Prés** (oldest church in Paris, founded in 543 AD), with its medieval frescoes and tranquil cloister.
  - Walk through the **Rue de Seine**, lined with art galleries and bookshops.
  - Visit **Saint-Sulpice**, home to Delacroix’s stunning murals in the Chapel of the Holy Angels and a magnificent Cavaillé-Coll organ.
---
#### 🛥️ **Late Afternoon: Seine River Cruise (Vedettes du Pont Neuf)**
- **Time:** 5:30 PM – 6:30 PM  
- **Departure Point:** Square du Vert Galant, Île de la Cité (at the foot of Pont Neuf)  
- **Duration:** 1 hour  
- **Highlights:**
  - Enjoy a scenic, open-top cruise passing iconic landmarks: Louvre, Musée d’Orsay, Eiffel Tower, and Notre-Dame.
  - Live commentary in English and French.
- **Tickets:**
  - **Time-stamped e-ticket (recommended):** €15 (online), €17 (on-site)
  - **Open ticket (flexible):** €16 (online only), valid for 1 year
- **Pro tip:** Book online in advance to secure your spot and avoid lines.
---
#### 🌆 **Evening: Sunset Views &amp; Dinner**
- **Time:** 7:00 PM onwards  
- **Suggested Spot:** 
  - **Pont de l’Archevêché** or **Pont Neuf** for golden-hour views of the Seine and city lights.
  - Dinner at a riverside restaurant like **Le Jules Verne** (in the Eiffel Tower) or **Bistrot Paul Bert** (cozy, authentic Parisian bistro).
---
### ✅ **Summary of Key Info**
| Activity | Time | Cost (approx.) |
|--------|------|----------------|
| Musée d'Orsay (ticket) | 9:00–11:30 AM | €16 (online) |
| Seine walk &amp; Pont des Arts | 11:45 AM – 12:30 PM | Free |
| Lunch | 12:45–1:45 PM | €20–30 |
| Saint-Germain &amp; Saint-Sulpice visit | 2:00–4:00 PM | Free |
| Seine River Cruise | 5:30–6:30 PM | €15 (online) |
| Dinner | 7:00 PM onwards | €30–50 |
**Total estimated cost (excluding transport):** €80–100 per person  
**Transport:** Consider a Paris Visite pass (€13 for 1 day, zones 1–3) for metro, RER, and bus access.
---
This route combines art, history, and the romantic charm of the Seine — perfect for a memorable day in Paris. 🎨🌉</t>
  </si>
  <si>
    <t>География безупречна: Орсе → Пон-де-Ар → Сен-Жермен → Сите → круиз от Вер-Галан. Факты по Орсе, Сен-Сюльпис и Сен-Жермен-де-Пре верны, цены правдоподобны. Для дня «про импрессионизм» пропущены Оранжери и Мармоттан-Моне — ключевые площадки. «Кувшинки» Моне заявлены как хедлайнер Орсе, хотя основная серия в Оранжери. Пробел в расписании 16:00–17:30.</t>
  </si>
  <si>
    <t>### One-Day Rome Itinerary: Ancient Landmarks &amp; Local Lunch (Under 8 km Walking)
This carefully planned one-day route in Rome focuses on iconic ancient landmarks, a memorable local lunch, and a total walking distance of **under 8 km**, ensuring a comfortable and immersive experience.
---
#### 🗺️ **Route Overview**
1. **Start: Pantheon** (9:00 AM)  
2. **Walk to: Piazza Navona &amp; Campo de’ Fiori** (10:00 AM)  
3. **Lunch: Ristorante Pancrazio** (12:00 PM)  
4. **Walk to: Roman Forum &amp; Palatine Hill** (1:30 PM)  
5. **Walk to: Colosseum** (2:30 PM)  
6. **Optional: Appian Way (if time &amp; energy allow)** (4:00 PM)  
7. **End: Return to Pantheon or nearby metro station** (5:00 PM)
---
### 🏛️ **Detailed Itinerary**
#### 1. **Pantheon (9:00 AM)**
- **Why visit?** One of the best-preserved ancient Roman buildings, with a massive dome and stunning interior.
- **Walking distance:** 0 km (start point).
- **Tip:** Arrive early to avoid crowds. Entry is free (€5 optional donation for audio guide).
- **Distance from next stop:** ~1.2 km (15-minute walk).
#### 2. **Piazza Navona &amp; Campo de’ Fiori (10:00 AM)**
- **Why visit?** Baroque square with fountains, street art, and vibrant atmosphere. Campo de’ Fiori is a historic market square.
- **Walk:** Follow Via del Pantheon → Via del Corso → Piazza Navona → Piazza Campo de’ Fiori.
- **Distance:** ~1.2 km (15 minutes).
- **Note:** Great for photos and a quick coffee break.
#### 3. **Lunch: Ristorante Pancrazio (12:00 PM)**
- **Location:** Piazza del Biscione, 92, 00186 Roma RM (right on the ruins of the **Theater of Pompey**, where Julius Caesar was assassinated).
- **Why visit?** A historic restaurant since 1922, built on ancient Roman ruins. Offers authentic Roman cuisine with a unique archaeological setting.
- **Must-try dishes:** Carbonara, Cacio e Pepe, Saltimbocca alla Romana.
- **Duration:** 1.5 hours (lunch + relaxation).
- **Distance from next stop:** ~1.5 km (20-minute walk).
#### 4. **Roman Forum &amp; Palatine Hill (1:30 PM)**
- **Why visit?** The political and religious heart of ancient Rome. Walk through the ruins of temples, basilicas, and imperial palaces.
- **Entry:** Combined ticket (€18) includes Palatine Hill. Pre-book online to skip lines.
- **Walk:** From Ristorante Pancrazio → Via dei Fori Imperiali → Roman Forum.
- **Distance:** ~1.5 km (20 minutes).
- **Tip:** Start at the Roman Forum, then climb to Palatine Hill for panoramic views.
#### 5. **Colosseum (2:30 PM)**
- **Why visit?** The world’s most famous amphitheater, symbol of ancient Rome’s engineering and spectacle.
- **Entry:** Pre-booked ticket (€25 for full access, including hypogeum and upper tiers).
- **Walk:** Via dei Fori Imperiali → Colosseum (1.5 km, 20 minutes).
- **Duration:** 60–90 minutes.
- **Tip:** Consider a guided tour for deeper historical context.
#### 6. **Optional: Appian Way (Via Appia Antica) (4:00 PM)**
- **Why visit?** Ancient Roman road lined with tombs, catacombs, and ruins. Peaceful and scenic.
- **Distance from Colosseum:** ~2.5 km (30–40 minutes walk or 10-minute metro ride).
- **Note:** Only if you have extra energy and time. Otherwise, return to the city center.
---
### 🚶‍♂️ **Total Walking Distance: ~7.5 km**
- Pantheon → Piazza Navona: 1.2 km  
- Piazza Navona → Campo de’ Fiori: 0.5 km  
- Campo de’ Fiori → Ristorante Pancrazio: 0.5 km  
- Ristorante Pancrazio → Roman Forum: 1.5 km  
- Roman Forum → Colosseum: 1.5 km  
- Colosseum → Appian Way (optional): 2.5 km (not included in base total)
✅ **All walking stays under 8 km** — ideal for a comfortable day.
---
### 🍝 **Lunch Recommendation**
- **Ristorante Pancrazio** (Piazza del Biscione, 92)  
  - **Cuisine:** Authentic Roman  
  - **Atmosphere:** Historic, archaeological site  
  - **Reservation:** Recommended (especially on weekends)  
  - **Contact:** +39 06 6861246 | ristorantepancrazio@gmail.com
---
### 📌 **Tips for a Smooth Day**
- **Wear comfortable shoes** — cobblestones and uneven terrain.
- **Bring water and snacks** — Rome is hot in summer.
- **Pre-book tickets** for Colosseum and Roman Forum to avoid queues.
- **Use public transport** (metro or bus) if tired — the Colosseum is near Metro Line A (Colosseo station).
---
Enjoy your journey through ancient Rome — where every step echoes with history! 🏛️🇮🇹</t>
  </si>
  <si>
    <t>Unsupported factual claim; Bad route logic</t>
  </si>
  <si>
    <t>Порядок точек компактный и логичный, ограничение до 8 км соблюдено, обед в Ristorante Pancrazio на руинах театра Помпея — реальное и уместное место. Критично: вход в Пантеон объявлен бесплатным, фактически платный (€5 с 2023 года). Арифметика расстояний не сходится: Пантеон → Пьяцца Навона указано 1,2 км при реальных ~350 м, сумма по таблице даёт 5,2 км против заявленных 7,5.</t>
  </si>
  <si>
    <t>Here is a thoughtfully designed one-day route in Lisbon that prioritizes **viewpoints**, **historic neighborhoods**, and **minimal steep walking**, while incorporating efficient public transport and scenic, flat access points.
---
### 🌇 **One-Day Lisbon Itinerary: Viewpoints &amp; Historic Neighborhoods (Low-Effort Walking)**
**Theme**: A relaxed, scenic journey through Lisbon’s heart, blending history, riverside views, and iconic spots — all with minimal uphill effort.
---
#### 🕘 **Morning: Baixa &amp; Praça do Comércio (Flat &amp; Central)**
- **Start at 9:00 AM** – Begin in **Baixa**, Lisbon’s flat, grid-like downtown.
- **Praça do Comércio (Commerce Square)**:
  - **Why go**: A grand neoclassical square opening directly to the Tagus River. It’s flat, wheelchair accessible, and offers panoramic views of the river and the 25 de Abril Bridge.
  - **Highlights**: The **Arco da Rua Augusta** (archway) at the northern end — climb it for a 360° view of the city and river.
  - **Tip**: Walk along the riverfront promenade (Cais do Sodré side) — completely flat and scenic.
- **Optional**: Grab a coffee at **Café A Brasileira** (famous for its literary history) or a pastel de nata at **Pastéis de Belém** (just a 10-minute walk from Praça do Comércio).
&gt; ✅ **Walking**: Flat, wide sidewalks. Ideal for strollers and seniors.
---
#### 🕘 **Mid-Morning: Rossio &amp; Chiado (Historic Heart)**
- **Walk to Rossio Square (10 min)** – A short, flat walk through **Rua Augusta**, a pedestrianized street with shops and cafes.
- **Rossio Square**:
  - **Why go**: The city’s historic center, surrounded by arcades, fountains, and the **Teatro Nacional de São Carlos**.
  - **Viewpoint**: The **Elevador de Santa Justa** (Santa Justa Lift) is nearby — though it’s a climb, it’s optional. You can enjoy the view from the ground level.
- **Chiado District**:
  - Stroll through **Rua Garrett** and **Largo do Chiado**.
  - Visit **Igreja de São Roque** (a stunning baroque church) and browse bookshops and boutiques.
&gt; ✅ **Walking**: Flat and compact. Use the **Navegante card** (€0.50) or contactless card for metro/bus access.
---
#### 🕘 **Early Afternoon: Miradouro de Santa Catarina (Adamastor) – Easy Viewpoint**
- **Take a short Bolt ride or bus (e.g., 737)** from Chiado to **Cais do Sodré** (10–15 min).
- **Walk to Miradouro de Santa Catarina (Adamastor)**:
  - **Why go**: One of Lisbon’s most accessible and popular viewpoints. Offers a stunning, unobstructed view of the **25 de Abril Bridge**, **Tagus River**, and the city skyline.
  - **Access**: The path from Cais do Sodré is mostly flat and gentle. The viewpoint itself is at a moderate elevation but requires no steep climb.
  - **Best time**: Arrive by 4:30 PM for golden hour and sunset.
- **Relax**: Enjoy a drink or snack at one of the terrace bars (e.g., **Café do Mar** or **Bairro Alto Bar**).
&gt; ✅ **Walking**: Minimal effort. Ideal for all fitness levels.
---
#### 🕘 **Late Afternoon: Riverfront Walk &amp; Return to Baixa**
- **Walk along the Tagus Riverfront** (from Miradouro de Santa Catarina back toward Baixa).
  - **Route**: Follow the **Parque das Nações** path or the **Cais do Sodré waterfront**.
  - **Scenery**: Views of the **Lisbon Oceanarium**, **Cristo Rei statue**, and passing ferries.
- **Return to Baixa** via **Praça do Comércio** or **Rossio**.
- **Optional**: Take **Tram 28** (if operating) for a nostalgic ride through Alfama’s narrow streets — but note: it’s not recommended for those avoiding steep walks.
&gt; ✅ **Walking**: Flat and scenic. Perfect for a relaxed end to the day.
---
### 🚇 **Transport Tips for Low-Effort Travel**
- **Use the Navegante Ocasional card** (€0.50) or **contactless bank card** for metro, buses, and ferries.
- **Avoid funiculars and elevators** (e.g., Santa Justa, Graça) — they are currently suspended or require steep access.
- **Use Bolt** for short rides between districts (e.g., Chiado to Cais do Sodré) — affordable and avoids uphill walks.
---
### 📌 **Summary: Key Features**
| Feature | Status |
|--------|--------|
| Flat walking routes | ✅ Yes (Baixa, Praça do Comércio, riverfront) |
| Accessible viewpoints | ✅ Miradouro de Santa Catarina, Praça do Comércio |
| Historic neighborhoods | ✅ Baixa, Chiado, Rossio, Cais do Sodré |
| Minimal steep walking | ✅ Prioritized throughout |
| Public transport | ✅ Metro, buses, Bolt, contactless cards |
---
### 🌟 **Final Tip**
Lisbon is famously hilly — but with smart planning, you can enjoy its beauty without the strain. This itinerary focuses on **flat access**, **scenic views**, and **historic charm**, making it perfect for families, seniors, or anyone who wants to savor the city without overexertion.
Enjoy your day in Lisbon! 🇵🇹✨</t>
  </si>
  <si>
    <t>Wrong location within city; Ignored constraints; Bad route logic; Unsupported factual claim</t>
  </si>
  <si>
    <t>Ключевое ограничение — избегать подъёмов — нарушено: Мирадору Санта-Катарина подан как «почти плоский», хотя подъём заметный. Критично по географии: Pastéis de Belém заявлены в 10 минутах ходьбы от Праса-ду-Комерсиу (реально ~6 км), набережная продолжена «путём Парка Наций» с видом на Океанариум (это другой конец города). Театр на Росиу назван Сан-Карлуш вместо Д. Марии II. Утверждение о приостановке Санта-Жушты не подтверждается.</t>
  </si>
  <si>
    <t>Here is a well-structured one-day itinerary for Amsterdam, designed to include iconic canals, a world-class museum, and a peaceful park—perfect for a memorable and balanced day:
---
### 🌿 **One-Day Amsterdam Itinerary: Canals, Art, and Quiet Green Spaces**
#### 🕘 **Morning: Explore the Canal Belt &amp; Start with the Rijksmuseum**
- **08:30–09:00** – Arrive at **Rijksmuseum** (open 09:00 daily).  
  *Pro tip:* Enter **at opening time (09:00)** to enjoy the Gallery of Honour with minimal crowds. This is the best time to view masterpieces like *The Night Watch* and Vermeer’s paintings in peace.
- **09:00–11:30** – Explore the Rijksmuseum. Focus on the Golden Age paintings, Dutch history, and the stunning architecture.
- **11:30–12:00** – Walk across **Museumplein** (3–5 minutes) to the **Van Gogh Museum**.  
  *Note:* Pre-book a time slot (e.g., 12:00–14:00) to avoid queues. The Van Gogh Museum is best visited in the early afternoon or on Friday evenings for a calmer experience.
#### 🕘 **Afternoon: Wander the Jordaan &amp; Enjoy a Canal Cruise**
- **12:00–14:00** – Visit the **Van Gogh Museum**. Spend time with Van Gogh’s iconic works, including *Sunflowers* and *The Bedroom*.
- **14:00–15:00** – Stroll through the **Jordaan district**, a charming neighborhood with narrow canals, cobbled streets, and boutique shops.  
  *Highlight:* Walk along **Brouwersgracht** and **Jodenbreestraat** for picturesque canal views and cozy cafés.
- **15:00–16:00** – Take a **one-hour canal cruise** (board near Westerkerk or Singel canal).  
  *Why:* A slower-paced, scenic way to appreciate Amsterdam’s unique water-based city layout. Opt for a small electric boat for a quieter, more intimate experience.
#### 🕘 **Evening: Unwind in Vondelpark**
- **16:30–18:00** – Head to **Vondelpark**, Amsterdam’s most beloved urban green space.  
  *Best quiet spots:*
  - **West-End Pond**: Secluded water area, ideal for reading or photography.
  - **Outer Ring of the Rosarium**: Peaceful path around the rose gardens (best in spring).
  - **Tree Tunnel Path**: A magical green canopy walkway in the south loop.
  - **Sunset Terrace Lookout**: Perfect for golden-hour views behind the Vondelpark Pavilion.
- **18:00–19:00** – Relax with a drink or light dinner at a café near the park (e.g., **Café de Pijp** or **Groot Melkhuis**).
---
### 📌 **Key Tips for a Smooth Day**
- **Book in advance:** Both the Rijksmuseum and Van Gogh Museum require **timed-entry tickets**. Book online to secure your preferred slot.
- **Avoid peak crowds:** Visit museums early (before 10:00 AM) and avoid weekends if possible.
- **Transport:** Use trams (lines 2, 12, or 13) or walk between locations. Amsterdam is very walkable and bike-friendly.
- **Best time to visit Vondelpark:** Early morning or weekday afternoons for tranquility.
---
This itinerary balances culture, history, and nature—offering a true taste of Amsterdam’s charm in just one day. Enjoy your journey through the city of canals! 🚤🎨🌳</t>
  </si>
  <si>
    <t>Каналы, музей и парк покрыты, тайминг реалистичный, Рейксмузеум и Ван Гог реальны. Критично: «тихие места» Вондельпарка — West-End Pond, Outer Ring of the Rosarium, Tree Tunnel Path, Sunset Terrace Lookout — выдуманные названия. Jodenbreestraat отнесена к Йордану (это Еврейский квартал, ~2 км восточнее), Café de Pijp — в Де Пейпе, а не у парка. Просили один музей — запланировано два.</t>
  </si>
  <si>
    <t>Here is a well-structured one-day route in Berlin focused on 20th-century history, including time for lunch at highly rated nearby restaurants:
---
### 🗓️ **One-Day Route in Berlin: 20th-Century History &amp; Lunch**
**Theme:** Explore the key chapters of 20th-century Berlin — from Nazi terror and Cold War division to the fall of the Wall and reunification.
---
#### 🕘 **Morning: Topography of Terror &amp; Reichstag (9:00 AM – 12:00 PM)**
- **📍 Topography of Terror (Niederkirchnerstraße 8)**  
  - **Why visit?** Located on the former site of the Gestapo and SS headquarters, this documentation center offers a powerful, immersive look at Nazi crimes from 1933 to 1945.  
  - **Highlights:** Preserved sections of the Berlin Wall, excavated torture cellars, and a permanent exhibition on the Nazi regime.  
  - **Tip:** Free guided tours are available on weekends (check schedule in advance).  
  - **Duration:** 1.5 hours  
- **📍 Reichstag Building (Platz der Republik 1)**  
  - **Why visit?** The seat of the German Parliament, famous for its glass dome offering panoramic views of Berlin. The dome includes a permanent exhibition on the building’s history — from the 1933 fire to reunification.  
  - **Note:** Free entry, but **book your dome visit online at least 2 weeks in advance** (slots fill quickly).  
  - **Duration:** 1 hour (including visit to the dome and exhibition)
---
#### 🕘 **Lunch (12:30 PM – 1:30 PM)**
- **🍽️ Mundo Tapas – Checkpoint Charlie**  
  - **Address:** Zimmerstraße 19, 10969 Berlin  
  - **Rating:** 4.7/5 (1,362 reviews)  
  - **Cuisine:** Spanish tapas with international flair (Nachos con Carne, grilled meats, paella)  
  - **Price:** €20–30 per person (moderate)  
  - **Ambience:** Lively, outdoor terrace with live music; great for a relaxed break  
  - **Why here?** Just a 10-minute walk from the Reichstag and Checkpoint Charlie. Highly rated and centrally located.  
  - **Open:** Lunch (12:00 PM – 4:00 PM), Dinner (5:00 PM – 11:00 PM)
---
#### 🕘 **Afternoon: Cold War Berlin – Checkpoint Charlie &amp; East Side Gallery (2:00 PM – 5:00 PM)**
- **📍 Checkpoint Charlie (Friedrichstraße 43–45)**  
  - **Why visit?** The most famous crossing point between East and West Berlin during the Cold War.  
  - **Highlights:** Replica guardhouse, outdoor exhibition on escape attempts, and the **Mauermuseum (Wall Museum)** — a must-visit for stories of daring escapes (balloons, tunnels, armored cars).  
  - **Mauermuseum Entry:** €18.50 (students €12.50)  
  - **Tip:** Avoid paid photos with actors — they’re a tourist trap. Focus on the museum and the historical context.  
  - **Duration:** 1.5 hours  
- **📍 East Side Gallery (Mühlenstraße 10, 10243 Berlin)**  
  - **Why visit?** The longest remaining stretch of the Berlin Wall (1.3 km), now a vibrant open-air gallery with over 100 murals.  
  - **Must-see:** The iconic “Fraternal Kiss” by Dmitri Vrubel (depicting Brezhnev and Honecker).  
  - **Tip:** Go early to avoid large tour groups.  
  - **Duration:** 30–45 minutes (walk the full length at a relaxed pace)
---
#### 🕘 **Optional Evening (Optional): Prenzlauer Berg or Dinner at Markthalle Neun**
- **Markthalle Neun (Böhmische Straße 1, 10997 Berlin)**  
  - A historic market hall with diverse food stalls (global cuisine, organic produce, craft beer).  
  - **Perfect for:** A casual dinner or snack after your historical tour.  
  - **Open:** Daily, 10:00 AM – 8:00 PM  
---
### 🗺️ **Summary of Key Locations &amp; Distances**
| Location | Distance from Previous | Walking Time |
|--------|------------------------|--------------|
| Topography of Terror → Reichstag | ~1.2 km | 15 min |
| Reichstag → Mundo Tapas | ~1.5 km | 20 min |
| Mundo Tapas → Checkpoint Charlie | ~1.1 km | 15 min |
| Checkpoint Charlie → East Side Gallery | ~1.8 km | 25 min |
---
### ✅ **Tips for Your Visit**
- Wear comfortable shoes — you’ll walk over 5 km.
- Use the Berlin U-Bahn or BVG bus network for efficient travel between sites.
- Download the **Berlin WelcomeCard** (if staying multiple days) for discounts on museums and public transport.
- Check opening hours and booking requirements in advance (especially for Reichstag dome).
---
This route offers a deep, chronological journey through Berlin’s 20th-century past — from Nazi terror to Cold War division and the triumph of reunification — all while enjoying excellent food in the heart of the city.</t>
  </si>
  <si>
    <t>Хронология XX века выстроена отлично: Топография террора → Рейхстаг → Чекпойнт Чарли → Ист-Сайд-Галерея, обед вписан. Критично: у ресторана Mundo Tapas указан точный рейтинг «4.7/5 (1362 отзыва)» без подтверждения, адрес Markthalle Neun неверен (фактически Eisenbahnstraße 42–43). Расстояния занижены: до Ист-Сайд-Галереи указано 1,8 км вместо ~3,5 км; в тексте ресторан назван в 10 минутах от Рейхстага, а в таблице — 20.</t>
  </si>
  <si>
    <t>### One-Day Walking Route in Barcelona: Gaudí Architecture &amp; Late Lunch
This carefully curated one-day walking route in Barcelona highlights the most iconic Gaudí landmarks, with a focus on a late lunch experience. The itinerary balances architectural marvels, scenic views, and authentic dining, all within a manageable walking distance.
---
#### 🗺️ **Route Overview**
- **Start**: Casa Batlló (Passeig de Gràcia)
- **End**: Park Güell (Gràcia)
- **Total Walking Distance**: ~6 km (moderate pace)
- **Best Time to Visit**: Spring or early autumn (avoid midday summer heat)
- **Key Tip**: Book tickets in advance for Sagrada Família and Park Güell to avoid long queues.
---
### 🕘 **Detailed Itinerary**
| Time | Location | Duration | Highlights &amp; Notes |
|------|--------|----------|-------------------|
| **09:00** | **Casa Batlló** (Passeig de Gràcia) | 90 min | Explore Gaudí’s masterpiece with its undulating façade, dragon-scale roof, and surreal interior. Consider the AR experience for deeper insight. |
| **10:45** | **La Pedrera (Casa Milà)** (Passeig de Gràcia) | 75 min | Walk 5 minutes from Casa Batlló. Marvel at the wave-like stone façade, innovative free-plan interior, and rooftop sculptures. |
| **12:30** | **Lunch: Kokcha – Restaurante Sagrada Família** (Carrer de la Marina, 228) | 60 min | **Late lunch option**. Just a 10-minute walk from La Pedrera. Enjoy authentic Mediterranean cuisine with a stunning view of Sagrada Família. Ideal for a relaxed, scenic meal. |
| **14:00** | **Sagrada Família** (Carrer de Mallorca, 401) | 90 min | Take Metro L2 (3 min) or walk (20 min). Visit the Passion and Nativity façades. The afternoon light enhances the stained glass. Book tower access in advance if desired. |
| **16:00** | **Park Güell** (Carrer d'Olot, 21) | 90 min | Take Metro L3 (15 min) or a scenic 20-minute walk through Gràcia. Explore the mosaic-covered gardens, the iconic dragon fountain, and enjoy panoramic views of Barcelona. |
| **17:30** | **La Torreta del Parc Güell** (Carrer d'Olot, 21) | 30–45 min (optional) | Enjoy a coffee, snack, or light dessert on the terrace. The views of the park and city are unforgettable. |
---
### 🍽️ **Late Lunch &amp; Dining Recommendations**
- **Kokcha (Near Sagrada Família)**  
  - **Why**: Offers a perfect blend of Mediterranean flavors and a direct view of Sagrada Família. Open from 10:00 AM, ideal for late lunch.
  - **Must-Try**: Seafood paella or grilled fish with local wine.
- **La Torreta del Parc Güell (Inside Park Güell)**  
  - **Why**: A peaceful, authentic spot with a relaxed vibe. Open daily until 8:00 PM.
  - **Must-Try**: Lemon meringue pie (made by the owner’s mother) or a simple sandwich with local cheese.
- **La Terrasseta del Lesseps (Gràcia)**  
  - **Why**: A green oasis near Park Güell, perfect for a post-park coffee or light meal. Great for tapas and a relaxed atmosphere.
---
### 📌 **Practical Tips**
- **Transport**: Use Metro (L2, L3) for efficient travel between major sites.
- **Tickets**: Book **Sagrada Família** and **Park Güell** online in advance.
- **Comfort**: Wear comfortable walking shoes and bring water.
- **Timing**: Lunch is typically served from 2:00 PM onward in Barcelona—this itinerary respects local customs.
---
This route offers a seamless journey through Gaudí’s genius, combining architectural wonder, scenic beauty, and authentic Catalan cuisine—perfect for a memorable day in Barcelona.</t>
  </si>
  <si>
    <t>Объекты Гауди реальные, порядок Пасеч-де-Грасия → Саграда → Парк Гуэль географически верный. Но ограничение «late lunch» проигнорировано: обед поставлен на 12:30, при этом в советах сказано, что в Барселоне обедают с 14:00 — прямое противоречие. Логика ломается: обед у Саграды Фамилии в 12:30, а переезд к Саграде — только в 14:00. Заявлено 10 минут от Ла-Педреры до Kokcha при реальных ~20. Kokcha и La Torreta не подтверждаются.</t>
  </si>
  <si>
    <t>Here is a calm, senior-friendly one-day route in Vienna designed for your parents, focusing on museums with minimal walking, comfortable pacing, and relaxing stops at elegant cafés:
---
### 🌿 **Calm One-Day Itinerary in Vienna for Seniors**  
*Focus: Museums, minimal walking, comfort, and relaxation*
---
#### 🕘 **8:30 AM – Breakfast at Café Landtmann (Innere Stadt)**  
- **Why**: One of Vienna’s most iconic cafés, located just steps from St. Stephen’s Cathedral. Elegant, historic, and known for its warm service and classic Austrian pastries.  
- **Highlights**: Try the *Sachertorte* or a warm *Kaiserschmarrn* with fruit compote.  
- **Accessibility**: Fully accessible, with elevators and spacious seating.  
- **Location**: Herrengasse 14, 1010 Vienna.
---
#### 🕘 **9:30 AM – St. Stephen’s Cathedral (Stephansdom)**  
- **Why**: A serene and majestic landmark. The cathedral is compact and easy to explore, with a peaceful interior and a short climb to the **Gothic Tower** (optional, if energy allows).  
- **Tip**: Visit early to avoid crowds and enjoy the soft morning light.  
- **Accessibility**: Elevator access to the tower and main nave; smooth flooring throughout.  
- **Location**: Stephansplatz, 1010 Vienna.
---
#### 🕘 **10:30 AM – Hofburg Palace (Imperial Apartments or Sisi Museum)**  
- **Why**: The former imperial residence, with rich history and elegant interiors. Choose **either** the Imperial Apartments (grand halls and royal chambers) **or** the **Sisi Museum** (dedicated to Empress Elisabeth, with personal artifacts and a tranquil atmosphere).  
- **Tip**: The Sisi Museum is more intimate and less overwhelming.  
- **Accessibility**: Fully accessible via elevator and ramps.  
- **Location**: Heldenplatz, 1010 Vienna.
---
#### 🕘 **12:30 PM – Lunch at Café In der Burggasse24 (Neubau)**  
- **Why**: A cozy, welcoming café with a lovely courtyard and a relaxed vibe. Offers delicious Austrian and vegetarian dishes, including hearty soups, cheese toasts, and fresh salads.  
- **Highlights**: Outdoor seating under shady trees—perfect for a peaceful lunch.  
- **Accessibility**: Step-free entrance, wide doors, and wheelchair-friendly layout.  
- **Location**: Burggasse 24, 1070 Vienna.  
- **Travel Tip**: Take a short tram ride (Tram 1, 2, or 71) from Hofburg to Dr.-Karl-Renner-Ring/Burgring (5–7 minutes).
---
#### 🕘 **2:00 PM – Kunsthistorisches Museum (Art History Museum)**  
- **Why**: One of the world’s finest art museums, but with a **senior-friendly approach**:  
  - **Focus on highlights**: Skip the long galleries; head straight to the **Austrian Art Collection** (Renaissance to Baroque) and the **Egyptian Antiquities** (calm, well-lit, and less crowded).  
  - **Use the museum’s free audio guide** (available in English) to avoid long reading.  
- **Accessibility**: Fully accessible with elevators, smooth floors, and rest areas.  
- **Tip**: Visit the **museum café** for a quiet break with a view of the palace gardens.  
- **Location**: Maria-Theresien-Platz, 1010 Vienna.
---
#### 🕘 **4:30 PM – Relaxing Afternoon at Kaffeeamt (Leopoldstadt)**  
- **Why**: A charming, modern café with a relaxed atmosphere and excellent coffee. Ideal for unwinding with a pastry and a book.  
- **Highlights**: Famous for its **cold brew** and **French toast**. Outdoor seating available.  
- **Accessibility**: Step-free entrance, wide aisles, and friendly staff.  
- **Location**: Schiffamtsgasse 8, 1020 Vienna.  
- **Travel Tip**: Take a short tram ride (U2 to MuseumsQuartier) or a 15-minute walk from Kunsthistorisches Museum.
---
#### 🕘 **6:30 PM – Dinner at Café Central (Innere Stadt)**  
- **Why**: A legendary Viennese café with a grand, historic interior. Perfect for a refined evening meal or a light dinner.  
- **Highlights**: Try the *Wiener Schnitzel* or a seasonal vegetarian dish. Enjoy a glass of wine or a classic *Eisbein* (pork knuckle).  
- **Accessibility**: Fully accessible, with elevators and spacious seating.  
- **Location**: Karlsplatz 4, 1040 Vienna.
---
### ✅ **Summary of Key Features for Seniors**:
- **Minimal walking**: All locations are within a 15-minute walk or short tram ride of each other.  
- **Accessibility**: All venues are wheelchair-friendly with elevators and smooth flooring.  
- **Comfort**: Cafés and museums offer seating, rest areas, and quiet zones.  
- **Pacing**: No rush—each stop allows 1.5–2 hours of relaxed exploration.  
- **No need to rush**: You can skip any stop if energy is low.
---
### 📌 **Travel Tips**:
- **Use the Vienna City Card** (if available) for free entry to museums and public transport.  
- **Wear comfortable shoes**—even with minimal walking, comfort matters.  
- **Book museum tickets online** in advance to avoid queues.
Enjoy a peaceful and memorable day in Vienna! 🌸 Vienna is truly a city of grace and beauty—perfect for a calm, thoughtful visit.</t>
  </si>
  <si>
    <t>Wrong location within city; Unsupported factual claim</t>
  </si>
  <si>
    <t>Подбор под пожилых родителей уместен: музеи, кафе, акцент на доступность и трамвай. Критично перепутаны адреса: Café Landtmann указано «в двух шагах от собора Св. Стефана» с адресом Herrengasse 14 — это адрес Café Central, а самому Central приписан Karlsplatz 4. В Музее истории искусств рекомендована несуществующая «Австрийская коллекция». Совет ехать в Леопольдштадт через U2 до MuseumsQuartier неверен; вечерние переезды в Леопольдштадт и обратно противоречат установке на минимум перемещений.</t>
  </si>
  <si>
    <t>### 🌟 Один день в Флоренции: маршрут с искусством эпохи Возрождения и обедом
Вот сбалансированный и реалистичный маршрут на один день, ориентированный на глубокое погружение в искусство эпохи Возрождения, с учётом времени, бронирования и вкусного обеда.
---
#### 🕘 **08:15 – 09:30 | Собор Санта-Мария-дель-Фьоре (Дуомо)**
- **Что посмотреть**: Купол Брунеллески, фасад из мрамора, колокольня Джотто.
- **Совет**: Забронируйте подъём на купол заранее (на [duomoflorence.it](https://www.duomoflorence.it)). Вид на город с высоты — незабываем.
- **Время**: 1 час.
---
#### 🕘 **09:30 – 12:30 | Галерея Уффици (Galleria degli Uffizi)**
- **Что посмотреть**: «Рождение Венеры» и «Весна» Боттичелли, «Благовещение» Леонардо да Винчи, работы Рафаэля, Тициана, Караваджо.
- **Совет**: Бронируйте билеты онлайн на [uffizi.it](https://www.uffizi.it) — без брони в высокий сезон (апрель–октябрь) очередь может быть 2+ часа.
- **Время**: 2,5–3 часа (рекомендуется выделить минимум 2 часа).
- **Цена билета**: €20–26 (включая бронирование).
---
#### 🕘 **12:30 – 14:00 | Обед в аутентичной тосканской таверне**
- **Рекомендуемые рестораны (с ценами 15–25 евро на человека)**:
  - **Trattoria Da Rocco** (Piazza Lorenzo Ghiberti, 50122)  
    - Атмосфера: уютная, с тематикой трамваев.  
    - Блюда: лампредотто (треф), флорентийская лазанья, бутерброд с рубцом (5 евро).  
    - Средняя стоимость: 10–20 евро.  
    - ✅ Идеально для быстрого, вкусного и недорогого обеда.
  - **Il Toscanaccio**  
    - Атмосфера: непринуждённая, с уличными столиками.  
    - Блюда: спагетти, ньокки, Aperol Spritz.  
    - Средняя стоимость: 10–20 евро.  
    - ✅ Хорошо подходит для лёгкого обеда с видом на улицу.
---
#### 🕘 **14:00 – 15:30 | Галерея Академии (Galleria dell'Accademia)**
- **Что посмотреть**: Оригинал «Давида» Микеланджело, «Пленники» Микеланджело.
- **Совет**: Бронируйте билеты на [galleriaaccademiafirenze.it](https://www.galleriaaccademiafirenze.it). Без брони очередь может быть 60–90 минут.
- **Время**: 1,5 часа.
- **Цена билета**: €20 (включая бронирование).
---
#### 🕘 **15:30 – 17:00 | Пьяцца делла Синьория → Понте Веккьо**
- **Что посмотреть**: Статуя Меркурия, памятник Гаррибальди, мост Понте Веккьо с ювелирными лавками.
- **Совет**: Прогуляйтесь по мосту на закат — особенно красиво в вечерних лучах.
---
#### 🕘 **17:00 – 18:30 | Площадь Микеланджело (Piazzale Michelangelo)**
- **Что посмотреть**: Лучшее место для заката с видом на весь город, купола, реку Арно.
- **Совет**: Приходите заранее, чтобы занять хорошее место. Можно прийти пешком (30–40 мин от центра) или на такси/автобусе.
---
### 📌 **Важные напоминания**
- **Бронирование обязательно**: Уффици и Академия — самые посещаемые музеи. Бронируйте билеты за 1–2 недели.
- **Время работы**:
  - Уффици: вторник–воскресенье, 08:15–18:30 (последний вход 17:30).
  - Академия: вторник–воскресенье, 08:15–18:50 (последний вход 18:20).
  - Оба музея закрыты по понедельникам.
- **Одежда**: Никаких штативов, селфи-палок, крупных сумок (хранение бесплатно).
- **Питание**: В музеях нельзя есть, только пить воду.
---
### 🎯 Итог
Этот маршрут позволяет:
- Увидеть ключевые шедевры Возрождения.
- Избежать длинных очередей.
- Попробовать настоящую тосканскую кухню.
- Насладиться закатом с лучшего вида на Флоренцию.
Планируйте заранее — Флоренция в пик сезона оживлена, но это делает её ещё прекраснее. 🎨🌆</t>
  </si>
  <si>
    <t>Unsupported factual claim; Hallucinated place</t>
  </si>
  <si>
    <t>Лучший маршрут батча по логике: Дуомо → Уффици → обед → Академия → Синьория → Понте Веккьо → Пьяццале Микеланджело, часы работы музеев и советы по бронированию верны, Trattoria Da Rocco реальна. Критично: на площади Синьории заявлены «статуя Меркурия» и «памятник Гарибальди» — там Персей Челлини, копия Давида, фонтан Нептуна и конная статуя Козимо I. Тайминг Дуомо с подъёмом на купол за 1 час до Уффици оптимистичен. Мелкие языковые огрехи («в Флоренции», «лампредотто (треф)»).</t>
  </si>
  <si>
    <t>### Спокойный однодневный маршрут по Копенгагену с современной архитектурой и набережными
Этот маршрут сочетает в себе прогулки по живописным набережным, посещение ключевых архитектурных объектов современного Копенгагена и возможность насладиться городской атмосферой в медленном темпе. Путь начинается в центре города и постепенно движется к современным районам, сохраняя баланс между историей и инновациями.
---
#### 🕘 **Утро: Набережная Нюхавн и исторический центр**
- **Начало: Канал Нюхавн (Nyhavn)**  
  Начните день с прогулки по знаменитому каналу Нюхавн — живописному месту с разноцветными домами XVII века.  
  - **Северная набережная** — тише, тенистее, с лучшим видом на фасады.  
  - **Южная набережная** — солнечная, с ресторанами и террасами.  
  - **Совет**: Зайдите в один из кафе у воды, чтобы попробовать датский кофе и булочку (например, *koldskål* или *wienerbrød*).
- **Далее: Ратушная площадь (Rådhuspladsen) и Круглая башня (Rundetaarn)**  
  Прогуляйтесь по центральной части города.  
  - **Круглая башня** — уникальная обсерватория с пандусом вместо лестниц. Вход платный (около 100 DKK), но стоит посетить ради архитектурного решения.  
  - **Время работы**: зависит от сезона — уточняйте на сайте [www.rundetaarn.dk](https://www.rundetaarn.dk).
---
#### 🕐 **День: Современная архитектура — BLOX, DAC и Копенгагенская опера**
- **Переезд: от центра к BLOX (на метро или пешком)**  
  - **Метро**: до станции *Rådhuspladsen* или *Nørreport*, затем пешком 10–15 минут.  
  - **Пешком**: по набережной вдоль гавани — красивый путь, особенно в хорошую погоду.
- **BLOX и Датский центр архитектуры (DAC)**  
  - **BLOX** — здание OMA (Рем Колхас), визуально впечатляющий комплекс, в котором проходят выставки, лекции и архитектурные мероприятия.  
  - **DAC** — национальный центр архитектуры, в котором можно посетить выставки, включая тематические экспозиции по современной датской архитектуре.  
  - **Время работы**:  
    - Понедельник, четверг, пятница: 10:00–21:00  
    - Среда: 10:00–18:00  
    - Вход: 135 DKK (взрослый), до 18 лет — бесплатно.  
  - **Совет**: Прогуляйтесь по внутреннему проходу BLOX — пешеходный путь, проходящий сквозь здание, что является частью архитектурной идеи.
- **Далее: Копенгагенская опера (Operaen)**  
  - **Как добраться**:  
    - На **городском пароме (Havnebussen)** — самый атмосферный способ. Сойдите на остановке *Opera House*. Путь занимает 5–10 минут.  
    - Пешком: 20 минут от станции метро *Christianshavn* через пешеходный мост *Indre Havnsbroen*.  
    - На велосипеде: 15 минут по велодорожкам вдоль гавани.  
  - **Что посмотреть**:  
    - Снаружи — эффектное здание с огромным стеклянным фасадом и выступающим козырьком (32 метра).  
    - Вход в фойе часто открыт для всех — можно просто полюбоваться интерьером.  
    - **Экскурсии внутри** — по предварительной записи (на сайте [www.operaen.dk](https://www.operaen.dk)).
---
#### 🌅 **Вечер: Набережная Эрестад и Рефшалеэн**
- **Переезд: на метро до Эрестада**  
  - Станции: *DR Byen* или *Ørestad* (линия M1/M2).  
  - **Совет**: Выйдите на *Ørestad* — здесь больше архитектурных экспериментов от BIG, JDS и других.
- **Эрестад (Ørestad)**  
  - Современный район с амбициозной архитектурой:  
    - **CopenHill (Amager Bakke)** — энергетический завод с горнолыжной трассой на крыше.  
    - **BIG-проекты**: здания с нестандартными формами, включая *The Twist* и *CopenHill*.  
  - **Совет**: Прогуляйтесь по набережной вдоль реки, чтобы увидеть контраст между высокими зданиями и природой.
- **Рефшалеэн (Refshaleøen)**  
  - Бывшая промышленная зона, превращённая в культурный кластер.  
  - **Copenhagen Contemporary** — современный художественный центр, размещённый в бывшем судостроительном цехе.  
    - **Время работы**: обычно 11:00–18:00 (уточняйте на сайте).  
    - **Вход**: бесплатный.  
  - **Атмосфера**: тихо, уютно, с видами на гавань и старые промышленные здания.
---
#### 🌙 **Завершение дня: возвращение в центр**
- Вернитесь в центр Копенгагена на метро или пароме.  
- Закончите день у **Нюхавна** — в одном из ресторанов с видом на канал, чтобы насладиться вечерним светом и атмосферой города.
---
### 📌 Полезные советы:
- **Транспорт**: Копенгаген — идеальный город для пешеходных и велосипедных прогулок. Используйте **Rejseplanen** (датский сервис маршрутов) для планирования поездок.
- **Copenhagen Card**: если планируете посещать несколько достопримечательностей, карта может сэкономить деньги.
- **Погода**: датская погода непредсказуема — возьмите лёгкую куртку и зонт.
- **Время**: маршрут рассчитан на 8–10 часов. Можно сократить, если не планируете посещать все выставки.
---
Этот маршрут сочетает в себе **спокойную прогулку**, **архитектурные впечатления** и **взаимодействие с водной средой** — всё, что делает Копенгаген уникальным городом.</t>
  </si>
  <si>
    <t>Wrong city / country; Unsupported factual claim; Bad route logic</t>
  </si>
  <si>
    <t>Ядро запроса раскрыто: Нюхавн, BLOX/DAC (OMA), Опера, Рефсхалеэн — реальные и уместные. Критично: «The Twist» назван объектом Копенгагена — это музей Кистефос в Норвегии; CopenHill отнесён к Эрестаду, хотя он в другой части Амагера; вход в Copenhagen Contemporary заявлен бесплатным, фактически платный. Эрестад и Рефсхалеэн — противоположные концы Амагера, для «спокойного» дня получается зигзаг.</t>
  </si>
  <si>
    <t>### 🌟 Маршрут на день по Афинам с античными памятниками (без длинных подъёмов)
Этот маршрут разработан с учётом комфортного передвижения: большая часть пути — по ровным улицам, подъёмы минимизированы, а ключевые античные достопримечательности посещаются в оптимальном порядке. Маршрут рассчитан на 8–10 км пешком, с перерывом на обед и возможностью воспользоваться транспортом для подъёма на холмы.
---
### 🕘 **07:00 – 08:00: Плака и АнаФиотика**
- **Место**: Плака (Plaka) и АнаФиотика (Anafiotika)
- **Что посмотреть**: 
  - Узкие улочки Плаки — старинный район у подножия Акрополя.
  - АнаФиотика — крошечный, как будто из Греции, квартал с белыми домиками, напоминающий селение на Кикладах.
- **Совет**: Начните день рано — воздух прохладный, толпы ещё не появились. Отличная возможность сделать фото с видом на Акрополь.
---
### 🕘 **08:00 – 09:30: Акрополь (Acropolis)**
- **Место**: Акрополь (вход с улицы Адриана, от станции метро *Monastiraki*)
- **Что посмотреть**:
  - Храм Парфенон — главный символ Афин.
  - Эрехтейон с портиком кариатид.
  - Храм Ники Виктории.
  - Пропилеи — парадный вход.
- **Совет**: Приходите **в момент открытия (8:00)** — меньше толпы, меньше жары. Билет: 20 € (или 30 € за комбинированный билет на 5 дней, включая другие памятники).
---
### 🕘 **09:30 – 11:00: Храм Гефеста и Древняя Агора**
- **Место**: Древняя Агора (Ancient Agora), улица Апостолу Павлу
- **Что посмотреть**:
  - **Храм Гефеста** — один из самых хорошо сохранившихся древнегреческих храмов.
  - **Стоа Аттала** — восстановленная римская арка с музеем Агоры.
  - Остатки древних зданий, где когда-то проходили политические и торговые дела.
- **Совет**: Путь от Акрополя до Агоры — по ровной улице *Dionysiou Areopagitou* (около 1 км). Это самый красивый и спокойный пешеходный маршрут в центре.
---
### 🕘 **11:00 – 13:00: Обед в Монастираки**
- **Место**: Монастираки (Monastiraki)
- **Что посмотреть**:
  - Рынок Монастираки — живописный, шумный, с местными сувенирами, едой и музыкой.
- **Совет**: Отдыхайте в кафе или бистро с видом на площадь. Попробуйте греческие блюда: *souvlaki*, *spanakopita*, *tzatziki*.
---
### 🕘 **13:00 – 15:00: Отдых или Национальный археологический музей**
- **Место**: Национальный археологический музей (National Archaeological Museum)
- **Что посмотреть**:
  - Один из крупнейших археологических музеев мира.
  - Экспонаты: скульптуры, саркофаги, сокровища из Микен, золото из Троя.
- **Совет**: Если устали — отдохните в музее, где прохладно и есть зоны для отдыха. Если хотите продолжать — можно пройти в музей, но не обязательно.
---
### 🕘 **15:00 – 16:30: Хадрианов Арх и Панатенаический стадион**
- **Место**: Хадрианов Арх (Hadrian's Arch) и Панатенаический стадион (Panathenaic Stadium)
- **Что посмотреть**:
  - **Хадрианов Арх** — древний монумент, символ перехода от античности к римской эпохе.
  - **Панатенаический стадион** — полностью построенный из мрамора, использовался в древних Олимпийских играх. В 1896 году здесь прошли первые современные Олимпийские игры.
- **Совет**: Путь от Агоры до стадиона — по ровной улице *Vasilissis Sofias* (около 1,5 км). Можно дойти пешком или на метро (линия 1, остановка *Omonia*).
---
### 🕘 **16:30 – 18:00: Филопаппос Холм (Philopappos Hill) — бесплатный вид на Акрополь**
- **Место**: Филопаппос Холм (Philopappos Hill)
- **Что посмотреть**:
  - Памятник Филопаппосу — римский сенатор, похороненный здесь.
  - **Бесплатный вид на Акрополь и весь город** — с вершины открывается одна из самых красивых панорам Афин.
- **Совет**: Подъём — короткий (около 15 минут пешком), но если устали — можно доехать на автобусе или такси. Вход — бесплатный.
---
### 🕘 **18:00 – 19:30: Солнечный закат с Ликабеттуса (Lycabettus Hill)**
- **Место**: Ликабеттус (Lycabettus Hill) — самый высокий холм в Афинах (277 м)
- **Что посмотреть**:
  - Закат над Афинами — незабываемый вид на город, море и Акрополь.
  - Крест на вершине — символ города.
- **Совет**: Подъём можно сделать **пешком** (20–30 мин по тропе) или **на фуникулёре** (снизу — от Колонаки). Фуникулёр — идеальный вариант, если устали.
---
### 📌 **Итог:**
- **Общее расстояние**: ~8–10 км (в основном по ровной местности).
- **Подъёмы**: Только два коротких (Филопаппос и Ликабеттус), с возможностью использовать транспорт.
- **Рекомендации**:
  - Носите удобную обувь и воду.
  - Используйте **комбинированный билет (30 € на 5 дней)** — он включает Акрополь, Древнюю Агору, Храм Гефеста, Панатенаический стадион и другие объекты.
  - Скачайте **Google Maps в офлайн-режиме** — на холмах может быть слабый интернет.
---
✅ Этот маршрут позволяет увидеть **все главные античные памятники Афин**, избежать перегрева и усталости, и закончить день с потрясающим видом на город.</t>
  </si>
  <si>
    <t>Ignored constraints; Unsupported factual claim; Bad route logic</t>
  </si>
  <si>
    <t>Просили без долгих подъёмов, а в плане Акрополь, Филопаппу и Ликавит — три холма подряд, причём два подъёма в конце дня. Критично по фактам: «золото из Трои» в Национальном археологическом музее (там микенское золото), Стоа Аттала названа «римской аркой» (это эллинистический портик), комбинированный билет за €30 не включает Панатинаикос. Путь от Агоры к стадиону описан по улице Василиссис Софиас с выходом на метро «Омония» — ни то, ни другое не по маршруту.</t>
  </si>
  <si>
    <t>Here is a well-structured one-day walking route in Tbilisi, designed to include the Old Town’s most iconic sights, a traditional Georgian lunch, and a panoramic viewpoint:
---
### 🌆 **One-Day Walking Route in Tbilisi: Old Town, Lunch &amp; Viewpoint**
**Duration:** ~6–7 hours  
**Best Time to Visit:** Late morning to early evening (ideal for sunset views)
---
#### 🚶‍♂️ **Morning: Explore the Heart of Old Tbilisi**
1. **Start at the Bridge of Peace**  
   - Cross the glass-enclosed **Bridge of Peace** (connecting the Old Town to Rike Park).  
   - Enjoy stunning views of the **Kura River** and the terracotta rooftops of the Old Town.
2. **Walk through Rike Park**  
   - Stroll through this scenic riverside park.  
   - Consider a short detour to the **Tbilisi Botanical Gardens** (if you enjoy a gentle hike) or take the **cable car** to Narikala Fortress.
3. **Cable Car Ride to Narikala Fortress**  
   - Ride the **Tbilisi Cable Car** (2.5 GEL one-way) from Rike Park.  
   - The 2-minute ride offers breathtaking aerial views of the city and river.
---
#### 🏰 **Midday: Historic Sights &amp; Lunch**
4. **Visit Narikala Fortress (Upper Station)**  
   - Explore the 4th-century fortress, including the **St. Nicholas Church** and the **Mother of Georgia statue**.  
   - The **upper station viewpoint** provides one of the most iconic panoramic views of Tbilisi.
5. **Lunch at a Top Georgian Restaurant in Old Town**  
   - **Recommended: Cafe Leila** (Old Town)  
     - A long-standing favorite for traditional vegetarian and vegan-friendly Georgian cuisine.  
     - Try: **Kharcho soup**, **Chaqapuli**, **fresh trout**, and **Georgian desserts**.  
     - Cozy atmosphere, authentic flavors, and excellent reviews.  
   - *Alternative:* **Cafe Daphna** (near Dry Bridge Market) – great for khinkali and a relaxed vibe.
---
#### 🌅 **Afternoon: Scenic Viewpoint &amp; Final Walk**
6. **Head to Avlabari for a Hidden Panoramic View**  
   - Walk back toward the city center and head to **Avlabari** (a historic Armenian-heritage district).  
   - **Best viewpoint:** **Metekhi Church cliff** (just beside the equestrian statue).  
     - Offers a dramatic, less-touristy view of the Old Town, Narikala Fortress, and the winding Kura River.  
     - **Perfect for sunset** – the golden light transforms the city into a Pirosmani painting.
7. **Optional: Visit the Sulphur Baths (Abanotubani)**  
   - If time allows, walk down from Narikala to **Abanotubani**, the historic bath district.  
   - A unique cultural experience and a nod to Tbilisi’s origins.
---
### 📌 **Tips for Your Day**
- **Wear comfortable walking shoes** – the Old Town has cobbled streets and hills.
- **Bring a camera** – Tbilisi’s architecture and views are photogenic.
- **Arrive at Metekhi Church 30 minutes before sunset** for the best lighting.
- **Cable car operates daily** (approx. 9:00 AM – 10:00 PM); check for seasonal changes.
---
This route combines history, culture, cuisine, and unforgettable views — a perfect way to experience the soul of Tbilisi in one day.</t>
  </si>
  <si>
    <t>Unsupported factual claim</t>
  </si>
  <si>
    <t>Лучший маршрутный ответ в наборе. Последовательность Мост Мира → Рике → канатка → Нарикала → обед в Старом городе → Метехи → Абанотубани компактна и логична, всё в пешей доступности. Цена канатки 2,5 GEL и время в пути указаны верно, Cafe Leila и смотровая у Метехи — реальные и точные рекомендации. Из мелкого: Cafe Daphna не подтверждается, ботанический сад привязан к Рике-парку, хотя вход к нему со стороны Нарикалы.</t>
  </si>
  <si>
    <t>Here is a curated one-day itinerary for Yerevan that combines history, local cuisine, and contemporary art, based on the latest available information:
---
### 🌅 **One-Day Itinerary in Yerevan: History, Food &amp; Contemporary Art**
#### **9:00 AM – Start at Erebuni Fortress &amp; Museum**
- **Why**: The ancient Urartian fortress (782 BCE) is the historical heart of Yerevan. Explore the ruins and the on-site museum showcasing artifacts from the Urartian civilization.
- **Duration**: 1.5–2 hours
- **Tip**: Visit early to avoid midday heat and enjoy the quiet atmosphere.
- **Location**: Near Republic Square, easily accessible by foot or taxi.
#### **10:30 AM – Matenadaran (Mesrop Mashtots Institute of Ancient Manuscripts)**
- **Why**: A UNESCO-recognized treasure house of medieval Armenian manuscripts and rare books. The building itself is an architectural gem.
- **Duration**: 1.5–2 hours
- **Cost**: ~1,500 AMD (approx. $3.50)
- **Tip**: Take the scenic walk down Mashtots Avenue after your visit—passing cafés and shops ideal for a morning coffee break.
#### **12:00 PM – Lunch at Lumen Coffee Roasters or GUM Market**
- **Why**: A perfect blend of local flavor and ambiance.
  - **Lumen Coffee Roasters (Saryan Street)**: Try traditional Armenian coffee (*soorj*) with a warm slice of **gata** (sweet buttery bread) — a must-try local treat.
  - **GUM Market**: Explore the food hall and enjoy fresh **khorovats** (Armenian grilled meat), **dolma**, or **kufta** with **lavash** and local cheeses.
- **Cost**: 1,000–2,500 AMD per person
- **Tip**: Eat at the market’s outdoor seating for a lively local vibe.
#### **1:30 PM – National Gallery of Armenia (Republic Square)**
- **Why**: Home to the largest collection of Armenian art, including works by the legendary **Martiros Saryan**. The Saryan Room is a highlight.
- **Duration**: 1–1.5 hours
- **Cost**: ~1,500 AMD
- **Tip**: Prioritize the Saryan room and early 20th-century Armenian art; skip later Soviet-era galleries if time is short.
#### **3:00 PM – Cafesjian Center for the Arts (Cascade Complex)**
- **Why**: One of the most prestigious contemporary art museums in the Caucasus, housed within the iconic Cascade complex.
- **Duration**: 1.5–2 hours (including indoor galleries and outdoor sculpture garden)
- **Cost**: 1,500–2,500 AMD (free to access the outdoor sculpture garden)
- **Opening Hours**: Tuesday–Sunday, 11:00 AM – 7:00 PM (check current hours)
- **Tip**: Visit in the morning for natural sidelight in the glass galleries. The outdoor sculptures (including works by Botero and Lynn Chadwick) are stunning at golden hour.
#### **5:00 PM – Walk to Victory Park &amp; Mother Armenia Monument**
- **Why**: A peaceful, scenic park with panoramic views of the city and the iconic **Mother Armenia** statue.
- **Duration**: 30–45 minutes (short taxi ride from Cascade)
- **Tip**: Ideal for a relaxing stroll before heading back downtown.
#### **6:00 PM – Vernissage (Open-Air Art &amp; Craft Market)**
- **Why**: A vibrant market selling handmade crafts, ceramics, jewelry, paintings, and wooden souvenirs. A great place to pick up unique gifts.
- **Location**: Near Republic Square
- **Duration**: 45 minutes – 1 hour
- **Tip**: Bargaining is common—start at 20–30% below the asking price.
#### **8:00 PM – End at Singing Fountains (Republic Square)**
- **Why**: The day ends with a magical spectacle. As evening falls, the fountains light up and dance to music, drawing locals and tourists alike.
- **Duration**: 30–45 minutes
- **Tip**: Bring a camera—this is the perfect photo moment.
---
### 📌 **Travel Tips**
- **Wear comfortable shoes**: The itinerary involves walking and climbing (especially at the Cascade).
- **Stay hydrated**: Yerevan can get very hot in summer—carry water.
- **Start early**: Avoid midday heat and crowds.
- **Budget**: Total estimated cost (excluding accommodation): ~10,000–15,000 AMD (~$25–35 USD) per person, including meals and museum entries.
---
This itinerary offers a balanced, immersive experience of Yerevan’s rich history, authentic flavors, and vibrant contemporary art scene—all within a single day. Enjoy your journey through Armenia’s capital! 🇦🇲✨</t>
  </si>
  <si>
    <t>Wrong location within city; Bad route logic</t>
  </si>
  <si>
    <t>Все три интереса закрыты сильными реальными точками: Эребуни, Матенадаран, Национальная галерея, Кафесчян (скульптуры Ботеро и Чедвика указаны верно), Вернисаж, поющие фонтаны. Ошибка: Эребуни описан как «рядом с площадью Республики, пешком» — реально ~5 км к югу, из-за чего переход к Матенадарану за 15 минут нереалистичен. Вернисаж к 18:00 уже сворачивается и работает в основном по выходным.</t>
  </si>
  <si>
    <t>Here is a well-structured one-day itinerary for Almaty, focusing on parks, modern architecture, traditional Kazakh cuisine, and using public transport efficiently.
---
### 🌿 **One-Day Itinerary in Almaty: Parks, Modern Architecture &amp; Kazakh Cuisine (Public Transport-Friendly)**
#### 🕘 **Morning: Explore Panfilov Park &amp; Almaty Central Park**
- **Start at Panfilov Park (Панфилов Парк)**  
  - **How to get there**: Take **bus 92 or 106 from the airport** to **Auezov Theatre**, then walk north on Dostyk Avenue (~15 minutes) to the southern gate.  
  - **Highlights**:  
    - Stroll through lush greenery with seasonal blooms (especially beautiful in May).  
    - Visit the **Panfilov 28 Guardsmen Memorial** and the eternal flame.  
    - Enjoy local life: accordion music, street vendors, and families relaxing.  
    - Walk along the bandstand and enjoy views of the Tien Shan mountains in the distance.  
- **Next: Almaty Central Park (Park Imeni Gorkogo)**  
  - **How to get there**: From Panfilov Park, walk east along Dostyk Avenue (~12 minutes) or take **bus 79, 86, or 131** to the “Park Imeni Gorkogo” stop.  
  - **Highlights**:  
    - A peaceful urban oasis with a small lake, playgrounds, and a Ferris wheel.  
    - Rent a **city bike** (green frames) using your **Onai transit card** (first 30 minutes free).  
    - Walk the tree-lined paths and enjoy the vibrant atmosphere.  
    - Take in views of the **Hotel Kazakhstan** and the city skyline.  
&gt; ✅ **Pro Tip**: Use your **Onai card** for trams and trolleybuses along Gogol and Furmanov Streets to move between parks and downtown.
---
#### 🕘 **Midday: Modern Architecture &amp; Cultural Experience**
- **Visit the Almaty Museum of Arts**  
  - **How to get there**: Take **tram 1 or 2** from **Zhibek Zholy (Republic Square) metro station** to **“Museum of Arts” stop** (~10 minutes).  
  - **Highlights**:  
    - A stunning example of contemporary Kazakh architecture, designed by Khalansky Oleg and Khablova Vera.  
    - Explore the **Alma Café** inside the museum — a modernist space with wooden and steel design inspired by Soviet constructivism.  
    - View rotating exhibitions of **Central Asian contemporary art** and the private collection of Nurlan Smagulov.  
    - Guided tours (60–90 minutes) available — book in advance via the museum’s website.  
&gt; 📌 **Note**: The museum is a cultural hub and also hosts events, art talks, and seasonal exhibitions.
---
#### 🕘 **Afternoon: Traditional Kazakh Food &amp; Local Flavors**
- **Lunch at a Local Favorite: Green Bazaar (Zeleny Bazaar)**  
  - **How to get there**: Take **tram 1 or 2** from the Museum of Arts to **“Green Bazaar” stop** (~5 minutes).  
  - **Highlights**:  
    - Explore the bustling market stalls and sample authentic Kazakh street food.  
    - Must-try dishes:  
      - **Shashlik** (grilled meat skewers) – best from vendors with long queues.  
      - **Lagman** (hand-pulled noodles with lamb and vegetables).  
      - **Samsa** (savory baked pastries with meat or cheese).  
      - **Baursak** (deep-fried dough balls, similar to sweet donuts).  
    - **Tip**: Bring cash — most vendors don’t accept cards.  
- **Optional: Visit a Weekend Night Market (if on Friday/Saturday)**  
  - **Where**: Aksay-5 or Mamyr-2 courtyards.  
  - **When**: 6 PM – midnight.  
  - **Why go**: Experience local family-run grills, plov (Kazakh rice dish), and live music.  
---
#### 🕘 **Evening: Sunset Views &amp; Relaxation**
- **Optional: Head to Medeu (for mountain views &amp; a unique meal)**  
  - **How to get there**: Take a **Yandex taxi** (~30 minutes from downtown).  
  - **Why go**:  
    - Visit **AUYL Restaurant**, a mountain restaurant offering **Kazakh fusion cuisine**.  
    - Try the **horse bone marrow** (a unique local delicacy) and **signature apple dessert**.  
    - Enjoy panoramic views of Almaty and the surrounding mountains.  
  - **Note**: Not accessible by public transport — best for a special evening treat.
---
### 🚌 **Transport Summary**
- **Onai Transit Card**: Buy at any green kiosk. Covers **buses, trams, trolleybuses, and metro**.  
- **Best Routes**:  
  - Airport → Panfilov Park: Bus 92 or 106.  
  - Panfilov Park → Central Park: Walk or bus 79/86/131.  
  - Central Park → Museum of Arts: Tram 1 or 2.  
  - Museum of Arts → Green Bazaar: Tram 1 or 2.  
---
### 🍽️ **Food Highlights Recap**
| Dish | Where to Try |
|------|--------------|
| Shashlik | Green Bazaar, night markets |
| Lagman | Green Bazaar, local stalls |
| Samsa | Green Bazaar, weekend markets |
| Baursak | Green Bazaar, street vendors |
| Horse Bone Marrow | AUYL (Medeu, by taxi only) |
---
### ✅ **Final Tips**
- **Best Time to Visit**: May–June (spring blooms, long daylight).  
- **Weather**: Pack layers — days are warm, but evenings cool.  
- **Language**: Basic Russian or Kazakh phrases help, but many locals speak English.  
- **Cash**: Carry small bills — many vendors don’t accept cards.  
Enjoy your day exploring Almaty’s green spaces, modern design, and rich culinary heritage — all without needing a car! 🌆✨</t>
  </si>
  <si>
    <t>Unsupported factual claim; Bad route logic; Ignored constraints</t>
  </si>
  <si>
    <t>Критично: весь транспортный каркас построен на трамваях 1 и 2, а трамвайная система Алматы закрыта в 2015 году — то есть ключевое ограничение «в основном общественным транспортом» выполнено несуществующим транспортом. Станция «Жибек Жолы» названа «Республика Сквер». Парки, Зелёный базар, AUYL и коллекция Смагулова в Музее искусств — реальные. День начинается из аэропорта, хотя об этом не просили.</t>
  </si>
  <si>
    <t>### One-Day Route in Baku: Old City, Seaside Promenade &amp; Azerbaijani Dinner
Here’s a well-structured, scenic, and enjoyable one-day itinerary for Baku, combining the historic Old City (Icherisheher), the scenic Caspian Sea promenade (Baku Boulevard), and a memorable Azerbaijani dinner.
---
#### 🕘 **Morning: Explore the Old City (Icherisheher)**
- **Start Time:** 9:00 AM  
  *(Ideal to avoid midday heat and crowds)*
- **Key Attractions:**
  - **Maiden Tower (Qız Qalası):** A UNESCO World Heritage Site with panoramic views from the rooftop. Climb the 200 steps for a breathtaking vista of the city and Caspian Sea.
  - **Palace of the Shirvanshahs:** A 15th-century royal complex with intricate architecture, courtyards, and a serene divankhana (reception hall).
  - **Caravanserai Courtyard Cafés:** Stop for a coffee or tea in a historic stone arcade, enjoying the atmosphere of ancient trade routes.
  - **Muhammad Mosque:** Visit during prayer times (if permitted) to experience the spiritual ambiance.
- **Tip:** Open from 9:00 AM – 6:00 PM (check seasonal hours). Wear comfortable shoes—narrow alleys and cobblestones require walking.
---
#### 🕐 **Midday: Cultural Stop &amp; Lunch**
- **12:15 PM – Baku Carpet Museum (on Baku Boulevard)**
  - A short walk from the Old City (approx. 15–20 min).
  - Explore the rich tradition of Azerbaijani carpet weaving with beautifully curated exhibits.
  - Open: 10:00 AM – 7:00 PM (seasonal).
- **1:30 PM – Lunch at Chinar (Seaside Modern Azerbaijani)**
  - Located along the Baku Boulevard, this popular restaurant offers a modern take on traditional dishes.
  - Try: *Plov* (rice with lamb and pomegranate), *Dolma*, or *Kebab*.
  - Reservations recommended.
---
#### 🕐 **Afternoon: Seaside Promenade &amp; Views**
- **2:45 PM – Stroll the Baku Boulevard (Caspian Sea Promenade)**
  - Start at **Azneft Square** and walk south along the 16 km promenade.
  - Highlights:
    - **Mini-Venice:** A charming canal area with gondola-like boats.
    - **Azerbaijan Carpet Museum** (already visited).
    - **Baku Eye (Ferris Wheel):** Ride for panoramic views of the city and sea (open 10:00 AM – 11:00 PM).
    - **Crystal Hall &amp; Marina Area:** Modern architecture and waterfront views.
    - **Memorial Park (Azərbaycan Dənizçilərinin Xatirəsinə):** A peaceful green space at the end of the route.
- **Optional:** Rent a bike or electric scooter for a more dynamic experience.
---
#### 🌅 **Evening: Sunset &amp; Azerbaijani Dinner**
- **4:45 PM – Highland Park (Best Panoramic Viewpoint)**
  - Head to Highland Park (also known as Upland Park) for golden hour views.
  - Arrive 45 minutes before sunset for the best photo opportunities.
  - The city lights begin to sparkle after dusk—perfect for a romantic walk.
- **6:30 PM – Dinner at Galateya Restaurant (Old City)**
  - **Address:** 22 M. Magomayev Street, Baku
  - **Why it’s special:** A cozy, art-filled restaurant in the heart of the Old City, blending Azerbaijani cuisine with European influences.
  - **Must-try dishes:** 
    - *Lavash with homemade cheese and herbs*
    - *Plov with lamb and pomegranate*
    - *Wine pairings from their curated collection*
  - **Opening Hours:**  
    - Mon–Fri: 12:00 PM – 11:00 PM  
    - Sat–Sun: 9:00 AM – 11:00 PM  
  - **Reserve in advance:** +994 50 777 22 29
---
#### 🌙 **Optional Evening Activity**
- **9:45 PM – Night Walk on the Boulevard or Caspian Cruise**
  - The promenade is well-lit and lively at night.
  - Consider a short **cruise across Baku Bay** to see the city lights from the water (check marina schedules).
---
### 📌 Summary
- **Total Walking Distance:** ~6–8 km (with breaks)
- **Best Time to Visit:** April–June or September–October (pleasant weather)
- **Recommended Footwear:** Comfortable walking shoes
- **Total Time:** 8–10 hours (ideal for a full day)
This route offers a perfect balance of history, culture, nature, and culinary delight—making it a memorable day in Baku.</t>
  </si>
  <si>
    <t>Маршрут собран правильно и компактно: Ичери-Шехер → Музей ковра → Приморский бульвар → Нагорный парк на закат → ужин в Старом городе. Дворец Ширваншахов, Девичья башня, мечеть Мухаммеда, Мини-Венеция, Baku Eye, Кристальный зал — всё реально и действительно расположено по маршруту. Не подтверждаются: «200 ступеней» в Девичьей башне, часы работы и телефон ресторана Galateya; Chinar скорее азиатский фьюжн и стоит в стороне от бульвара.</t>
  </si>
  <si>
    <t>Here is a curated one-day route in Minsk focused on architecture, parks, and local cuisine, based on up-to-date travel insights and local recommendations:
---
### 🌆 **One-Day Itinerary in Minsk: Architecture, Parks &amp; Local Cuisine**
**Theme:** A balanced journey through Minsk’s historic heart, green spaces, and authentic Belarusian flavors.
---
#### 🕘 **8:00 AM – Start at Independence Square &amp; Stalinist Architecture**
- **Location:** Independence Square (Ploshchad Narodnogo Osvobozhdeniya)
- **Highlights:**
  - Begin your day with the grandeur of Minsk’s Soviet-era architecture.
  - Walk between the twin **Stalinist towers** (Palace of the Republic and the Ministry of Foreign Affairs), where morning light casts long shadows across the square.
  - Visit the **Cathedral of Saints Peter and Paul** (a stunning example of neo-Byzantine architecture) for a quiet moment amid the city’s rhythm.
- **Tip:** Arrive early to avoid crowds and capture the square at its most serene.
---
#### 🕘 **9:30 AM – Morning Stroll Along the Svislach River &amp; Gorky Park**
- **Route:** Walk south along the **Svislach River embankment** (a scenic, tree-lined path).
- **Stop:** **Gorky Park (Maxim Gorky Central Children’s Park)**
  - **Must-see:** The iconic **56-meter Ferris wheel** – take a ride for panoramic views of the city and river.
  - **Relax &amp; explore:** Stroll through the park’s lush greenery, visit the **planetarium**, or enjoy a quiet moment by the river.
  - **Local vibe:** Watch locals playing chess, jogging, or feeding ducks.
- **Best time to visit:** Early morning or late afternoon for the most peaceful atmosphere.
---
#### 🕘 **12:00 PM – Lunch at Komarovsky Market: Taste of Belarus**
- **Location:** Komarovsky Market (Vera Khoruzhey Street 8)
- **Why go:** Minsk’s largest and most authentic food market, with over 2,000 vendors.
- **Must-try local dishes:**
  - **Draniki** – Hearty potato pancakes, fried in pork fat until crispy, served with sour cream.
  - **Syrniki** – Fresh cheese pancakes, warm from the griddle, often drizzled with honey.
  - **Birch sap** – A refreshing, slightly sweet drink from local vendors.
  - **Pickled mushrooms &amp; dill** – Freshly harvested, sold in buckets by babushkas.
- **Tip:** Bring cash – most vendors don’t accept cards. Go early (before 10 AM) for the freshest produce and fewer crowds.
---
#### 🕘 **2:00 PM – Afternoon in the City: Parks &amp; Quiet Corners**
- **Option 1:** Head to **Central Botanical Garden** (2.5 km from Komarovsky Market) – a peaceful oasis with lakes, flower beds, and walking paths.
- **Option 2:** Explore **Trinity Suburb (Trinity Quarter)** – a historic neighborhood with charming old buildings, quiet courtyards, and a relaxed atmosphere.
- **Optional:** Visit the **Red Church (Church of the Virgin Mary of the Angels)** – a beautiful Baroque-style church with a serene interior.
---
#### 🕘 **5:00 PM – Sunset at Victory Hill &amp; Museum of the Great Patriotic War**
- **Location:** Victory Square &amp; Victory Hill
- **Highlights:**
  - Ride the **funicular** up to Victory Hill for sweeping views over Minsk’s green rooftops and the Svislach River.
  - Visit the **Museum of the Great Patriotic War** – a solemn yet powerful tribute to Belarus’s wartime history.
  - Enjoy the **evening light** over the city – perfect for photos and reflection.
---
#### 🕘 **7:00 PM – Dinner &amp; Evening Vibe: Craft Beer &amp; Local Flavors**
- **Recommendation:** End your day at a **repurposed industrial club** or **craft beer bar** (e.g., **Mon Nom** or **Mixue** on Independence Avenue).
  - Try **Belarusian craft beer** paired with local snacks.
  - Alternatively, enjoy a **dinner at a traditional restaurant** serving **pork stew in clay pots** (a rich, slow-cooked dish with rye bread for dipping).
---
### 📌 **Key Tips:**
- **Transport:** Minsk has an efficient metro and tram system. Use the **Ploshchad Pobedy** or **Gorky Park** stations for easy access.
- **Best time to visit:** Spring (April–June) or autumn (September–October) for pleasant weather and fewer tourists.
- **Dress:** Wear comfortable walking shoes – you’ll cover a lot of ground.
- **Language:** While Russian and Belarusian are official, many younger locals speak English.
---
This itinerary blends Minsk’s architectural heritage, natural beauty, and rich culinary traditions into a memorable, immersive day. Enjoy the rhythm of the city – from dawn to dusk. 🇧🇾✨</t>
  </si>
  <si>
    <t>Парк Горького с колесом и планетарием, Комаровский рынок с драниками и берёзовым соком, Троицкое предместье, Ботанический сад — верно и по делу. Критично: в Минске нет фуникулёра, предложенного для подъёма на «Курган Победы»; «башни-близнецы» на площади Независимости приписаны Дворцу Республики и МИДу; Красный костёл назван барочным; в качестве крафтового бара предложен Mixue — сеть чайных напитков. Название площади дано выдуманной транслитерацией.</t>
  </si>
  <si>
    <t>Вот оптимальный прогулочный маршрут по Москве на один день, включающий музей, парк и недорогой обед:
---
### 🗺️ **Прогулочный маршрут по Москве на один день**
**Начало:** 9:00  
**Конец:** 18:00  
**Тема:** Культура, природа и архитектура в центре столицы
---
#### 🕘 9:00 – 12:00 — **Красная площадь и Кремль**
- Начните день с посещения **Красной площади** — символ Москвы и главная достопримечательность страны.
- Прогуляйтесь по площади, полюбуйтесь на Кремль, Собор Василия Блаженного и ГУМ.
- **Совет:** Вход в Кремль платный (около 500–700 руб.), но можно просто осмотреть его снаружи бесплатно.
---
#### 🕘 12:00 – 13:30 — **Недорогой обед в ГУМе**
- Перейдите в **ГУМ** (на Охотном ряду) — крупнейший торговый центр в центре Москвы.
- **Рекомендуемое место:** **Столовая №57** — бюджетное кафе с сытными блюдами русской и европейской кухни.
  - Средняя стоимость обеда: **300–500 руб.**
  - Атмосфера уютная, интерьер в стиле советской эпохи.
  - Открыто с 10:00 до 22:00.
---
#### 🕘 13:30 – 16:30 — **Парк «Зарядье» и Подземный музей**
- Прогуляйтесь пешком или на метро (станция «Маяковская» или «Парк культуры») до **парка «Зарядье»** — современного культурно-природного пространства.
- **Бесплатный вход** на территорию парка — открыт круглосуточно.
- Обязательно посетите:
  - **Парящий мост** — впечатляющая смотровая площадка над Москвой-рекой (бесплатно).
  - **Подземный музей «Зарядье»** — интерактивный музей, посвящённый истории Москвы и природе.
    - **Время работы:**  
      - Понедельник: 14:00–20:00  
      - Вторник–воскресенье: 10:00–20:00  
    - **Стоимость билета:**  
      - Взрослый: 190 руб. (будни), 250 руб. (выходные)  
      - Дети (7–18 лет): 95 руб. (будни), 125 руб. (выходные)  
      - Дети до 7 лет, инвалиды, ветераны — **бесплатно**.
  - **Гастрономический центр «Зарядье»** — здесь можно перекусить по цене **600 руб. за блюдо** (включая суп, салат, десерт). Атмосфера — под хрустальным куполом, вид на парк.
---
#### 🕘 16:30 – 18:00 — **Свободное время / Возвращение на Красную площадь**
- Вернитесь на Красную площадь, чтобы увидеть её в вечернем освещении.
- Можно сделать фото, купить сувениры или просто отдохнуть в одном из кафе.
---
### ✅ **Итог:**
- **Музей:** Подземный музей «Зарядье» (платный, но доступный).
- **Парк:** Парк «Зарядье» (бесплатный, с парящим мостом).
- **Обед:** Столовая №57 в ГУМе (недорогой, вкусный, в центре).
- **Бюджет на человека:** ~1000–1500 руб. (без билетов в Кремль).
---
📌 **Совет:**  
- Лучше посещать парк «Зарядье» в будний день — меньше толпы.  
- Билеты в Подземный музей можно купить онлайн на сайте [zaryadyepark.ru](https://www.zaryadyepark.ru) — это сэкономит время.
Приятного путешествия по Москве! 🇷🇺✨</t>
  </si>
  <si>
    <t>Связка Красная площадь → ГУМ → «Зарядье» компактна и полностью отвечает запросу; Столовая №57 — точное попадание в «недорогой обед», цены на музей и парк правдоподобны. Ошибки: ГУМ отнесён к Охотному Ряду; для перехода в «Зарядье» (5 минут пешком от Красной площади) предложено метро «Маяковская» или «Парк культуры»; стоимость билета в Кремль занижена.</t>
  </si>
  <si>
    <t>web_search(ok); web_search(ok); web_search(ok); web_search(ok) | model_calls=5 tool_calls=4 grounded=true</t>
  </si>
  <si>
    <t>### 🌟 Маршрут на день по Петербургу с дворцами, набережными и минимальным использованием метро
Этот маршрут разработан для тех, кто хочет увидеть главные достопримечательности Петербурга **пешком**, с минимальным количеством поездок на метро (всего **одна поездка — на обратном пути**), и при этом ощутить атмосферу города вдоль Невы и её притоков.
---
### 🗺️ **Ключевые принципы маршрута:**
- Все основные точки расположены в центре города.
- Переходы между объектами — **5–15 минут пешком**.
- Большинство дворцов и набережных можно увидеть **снаружи бесплатно**.
- Метро используется **только один раз** — для выезда из центра вечером.
- Рекомендуется начинать с **10:00–11:00**, чтобы избежать толпы.
---
### 🚶‍♂️ **Пешеходный маршрут (вдоль Невы и набережных):**
#### 🕘 **10:00 – Дворцовая площадь и Дворцовая набережная**
- Начните с **Дворцовой площади** — сердце Петербурга.
- Прогуляйтесь по **Дворцовой набережной** — здесь впервые увидите Неву, Зимний дворец, Медного всадника и панораму с петербургской архитектурой.
- Фото на фоне колонн Зимнего дворца — must-have.
#### 🕘 **10:30 – Мосты и Васильевский остров**
- Перейдите через **Дворцовый мост** (второй по величине в городе).
- Пройдите по **Садовой улице** на Васильевский остров.
- Остановитесь у **Спаса на Крови** — один из самых красивых храмов Петербурга, построенный на месте убийства царя Ивана Грозного.
#### 🕘 **11:15 – Набережная Фонтанки и дворцы**
- Спуститесь к **Фонтанке** — живописная узкая река с мостами.
- Пройдите мимо:
  - **Аничков дворец** (снаружи) — знаменитый мост и фасад.
  - **Дворец Белосельских-Белозерских** — архитектурный шедевр с лепниной.
  - **Шереметевский дворец** — снаружи, с возможностью посмотреть на фасад и сад.
#### 🕘 **12:30 – Летний сад и Летний дворец Петра I**
- Пройдите через **Летний сад** (вход свободный).
- Увидите **Летний дворец Петра I** — самый ранний дворец в Петербурге, скромный, но исторически значимый.
- В саду — тишина, зелень, фонтаны, архитектура XVIII века.
#### 🕘 **13:30 – Набережная Мойки и Юсуповский дворец**
- Пройдите по **набережной Мойки**.
- Остановитесь у **Юсуповского дворца** — снаружи, с фасадом в стиле барокко.
- Узнайте историю: здесь убивали Распутина (внутрь — по желанию, платно).
#### 🕘 **14:30 – Крепость Петра и Павла (Петропавловская крепость)**
- Пройдите по **Заячьему острову** (через мосты).
- Доберитесь до **Петропавловской крепости** — с которой начался Петербург.
- Посмотрите на **Петропавловский собор** — мавзолей императоров.
- Вид на Неву с крепостной стены — впечатляющий.
#### 🕘 **16:00 – Возвращение в центр (поездка на метро)**
- Станция **«Петроградская»** или **«Адмиралтейская»**.
- Пройдите по **Невскому проспекту** (если хотите) или на метро до **«Невский проспект»**.
- Завершите день у **Исаакиевского собора** или в кафе на площади.
---
### 🚇 **Транспорт:**
- **Один раз** — на обратном пути (например, с «Петроградской» на «Невский проспект»).
- Используйте **карту «Подорожник»** (залог 70 ₽, поездка — 51 ₽) — дешевле, чем разовые билеты.
---
### 💡 **Советы:**
- Носите **удобную обувь** — гранитные тротуары утомляют к вечеру.
- Взять **фонарик или светоотражающую одежду** — если идёте вечером.
- План можно адаптировать: **взять только дворцы снаружи** — бесплатно.
- Если хотите посетить музеи — **забронируйте билеты онлайн** заранее.
---
### 📌 **Итог:**
- **Расстояние:** ~8–10 км (12–15 тыс. шагов).
- **Время:** 8–10 часов.
- **Метро:** 1 поездка (на обратном пути).
- **Бюджет:** от 500 ₽ (если смотреть только снаружи).
---
&gt; ✅ Этот маршрут — идеальный баланс между красотой, историей и удобством. Вы увидите **дворцы, набережные, мосты, соборы и архитектуру**, не устав от транспорта. Петербург — город, который живёт в шаге от воды. Идите вдоль Невы — и он расскажет вам свою историю.</t>
  </si>
  <si>
    <t>Unsupported factual claim; Bad route logic; Wrong location within city</t>
  </si>
  <si>
    <t>Дворцы подобраны верно (Аничков, Белосельских-Белозерских, Шереметевский, Юсуповский, Летний дворец Петра I), ограничение «минимум метро» соблюдено. Критично: Спас на Крови объявлен местом убийства Ивана Грозного — фактически Александра II. География ломается: с Дворцового моста предложено идти «по Садовой улице на Васильевский остров» и там же осматривать Спас на Крови, который на другом берегу. Заявленные переходы «5–15 минут» не соответствуют реальности — от Юсуповского дворца до Петропавловской крепости около 4 км.</t>
  </si>
  <si>
    <t>### 🌟 Маршрут на один день по Самарканду: главные исторические достопримечательности
Самарканд — один из самых живописных городов Узбекистана, включённый в список Всемирного наследия ЮНЕСКО. В этом маршруте собраны ключевые исторические места, расположенные компактно, чтобы вы могли насладиться всем за один день. Время на обед учтено, а транспортные перемещения оптимизированы.
---
#### 🕘 **08:30 – 09:00 | Прибытие и завтрак**
- Начните день с лёгкого завтрака в одном из местных кафе (например, **Karimbek Restaurant** — популярное место среди туристов).
- Рекомендуемый выбор: традиционный узбекский чай, самса, плов.
---
#### 🕘 **09:00 – 10:15 | Обсерватория Улугбека**
- **Расположение**: на холме Афрасиаб, в 3,4 км от Регистана.
- **Время на осмотр**: 45–60 минут.
- **Особенности**: древняя астрономическая обсерватория XV века, построенная Улугбеком. Здесь можно увидеть огромный сектор, использовавшийся для измерения звёздных координат.
- **Транспорт**: на такси (10–15 минут, ~10 000 сум).
---
#### 🕘 **10:15 – 11:20 | Музей Афрасиаб**
- **Расположение**: рядом с обсерваторией, на территории древнего городища.
- **Время на осмотр**: 45 минут.
- **Особенности**: уникальные 7-го века фрески, рассказывающие историю древнего Самарканда. Отличная подготовка к знакомству с городом.
---
#### 🕘 **11:20 – 12:30 | Некрополь Шахи-Зинда**
- **Расположение**: на холме, в 1,3 км от Регистана.
- **Время на осмотр**: 1 час.
- **Особенности**: «Аллея мавзолеев» с 14+ тимуридскими гробницами, покрытыми бирюзовыми и синими мозаиками. Место особенно красиво утром.
- **Транспорт**: на такси (10 минут, ~10 000 сум) или пешком (15 минут).
---
#### 🕘 **12:30 – 13:30 | Обед в ресторане**
- **Рекомендуемое место**: **Karimbek Restaurant** (находится рядом с Регистаном).
- **Что попробовать**: шашлык, плов, баклava, ачичук (свежий салат из томатов и лука).
- **Совет**: приходите до 13:00 — блюда готовятся партиями, и к 14:00 может закончиться лучшее.
---
#### 🕘 **13:30 – 14:30 | Мечеть Биби-Ханым**
- **Расположение**: в центре города, в 0,8 км от Регистана.
- **Время на осмотр**: 1 час.
- **Особенности**: одна из крупнейших мечетей исламского мира, построенная Тимуром. Величественные порталы, купола и двор с морской подставкой для Корана.
- **Транспорт**: пешком (10 минут).
---
#### 🕘 **14:30 – 16:00 | Площадь Регистан**
- **Расположение**: центр города.
- **Время на осмотр**: 1,5–2 часа.
- **Особенности**: три величественных медресе — Улугбека, Шердор и Тилля-Кари — окружают центральную площадь. Место считается жемчужиной архитектуры Центральной Азии.
- **Совет**: приходите к вечеру (17:00–19:00), чтобы увидеть площадь в свете фонарей — это особенно красиво.
---
#### 🕘 **16:00 – 17:00 | Мавзолей Гур-Эмир**
- **Расположение**: в 0,9 км от Регистана.
- **Время на осмотр**: 40–60 минут.
- **Особенности**: усыпальница Тамерлана (Тимура), с потрясающим синим куполом и богато украшенным интерьером.
- **Транспорт**: пешком (10 минут).
---
#### 🕘 **17:00 – 18:00 | Последние покупки и прогулка по базару**
- **Рекомендуемое место**: **Сиабский базар** (Siab Bazaar).
- **Что купить**: сухофрукты, пряности, традиционные узбекские сладости.
- **Совет**: лучше не носить тяжёлые сумки — лучше сделать покупки в конце дня.
---
#### 🕘 **18:00 – 18:30 | Отъезд**
- **Транспорт**: на такси или пешком до железнодорожного вокзала (10 минут).
- **Альтернатива**: поездка на трамвае (2 000 сум) — интересный способ почувствовать местную жизнь.
---
### 📌 **Советы по посещению**
- **Лучшее время года**: весна (апрель–июнь) и осень (сентябрь–октябрь) — комфортная погода.
- **Одежда**: носите удобную обувь — много ходьбы.
- **Входные билеты**: в среднем от 25 000 до 100 000 сум (в зависимости от объекта).
- **Время работы**: большинство достопримечательностей открыты с 8:00 до 19:00 (в летний период — до 20:00).
---
Этот маршрут позволяет увидеть самое главное, познакомиться с историей Самарканда и насладиться местной кухней — всё за один день, без спешки.</t>
  </si>
  <si>
    <t>Порядок объектов выстроен грамотно с севера на юг: обсерватория Улугбека → музей Афрасиаба → Шахи-Зинда → обед → Биби-Ханым → Регистан → Гур-Эмир, расстояния указаны корректно, трамвай в Самарканде действительно есть. Ошибки: Karimbek заявлен «рядом с Регистаном», фактически в паре километров; совет прийти на Регистан в 17:00–19:00 противоречит собственному расписанию на 14:30; «морская подставка для Корана» вместо мраморной; опечатки со смешением алфавитов.</t>
  </si>
  <si>
    <t>Here is a curated **3-day trip plan to Vienna** tailored to your interests in **museums, coffee, and parks**, based on up-to-date and reliable sources.
---
### 🌸 **Day 1: Imperial Heart &amp; Classic Viennese Coffee**
**Theme:** Historic Center &amp; Traditional Coffee Culture
- **Morning (10:00–12:00): Hofburg Palace &amp; Sisi Museum**  
  Start at the **Hofburg**, the former imperial palace. Focus on the **Imperial Apartments** and the **Sisi Museum** (€17.50, opens at 9:00). Learn about Empress Elisabeth’s life in this intimate, moving exhibit.  
  *Tip: Book tickets online to skip lines.*
- **Lunch (12:30–13:30): Graben &amp; Stephansdom Area**  
  Stroll through **Graben**, Vienna’s historic shopping street, and enjoy lunch near **St. Stephen’s Cathedral (Stephansdom)**. Try a *Wiener Schnitzel* at a traditional restaurant.
- **Afternoon (14:00–16:00): Café Central – Iconic Coffeehouse**  
  Head to **Café Central** (Herrengasse 14), a legendary coffeehouse with vaulted ceilings and literary history. Order a **Melange** (Viennese cappuccino, ~€6.50) and a slice of **Apfelstrudel** (~€7.90). Savor the atmosphere—this is the essence of Viennese coffee culture.
- **Evening (18:00–20:00): Ringstraße &amp; Night Walk**  
  Walk along the **Ringstraße**, passing the Parliament, City Hall, and the Opera House. Enjoy the evening glow of the imperial buildings.
---
### 🎨 **Day 2: Museums &amp; Gardens – Art &amp; Nature**
**Theme:** World-Class Museums &amp; Green Spaces
- **Morning (10:00–12:30): Kunsthistorisches Museum (KHM)**  
  Visit the **Kunsthistorisches Museum** (€22 online, open daily except Mondays). Spend time in the **Old Masters Gallery**—home to works by Bruegel, Vermeer, Raphael, and Titian.  
  *Note: If your visit falls on a Monday outside summer, go to the **Leopold Museum** (open daily, closed Tuesdays) instead.*
- **Lunch (13:00–14:00): Naschmarkt**  
  Head to **Naschmarkt**, Vienna’s vibrant open-air food market in the 6th district. Try local specialties like *Käsekrainer* (cheese sausage), fresh fruit, or a *Wiener Würstel*.
- **Afternoon (15:00–17:30): Belvedere Palace &amp; The Kiss**  
  Take a short tram ride (line D from Schwarzenbergplatz) or walk to the **Upper Belvedere**. Admire **Gustav Klimt’s The Kiss** (€23 online). The palace gardens are perfect for a relaxing stroll.
- **Evening (18:30–20:00): Café Sperl – Historic Coffeehouse**  
  Visit **Café Sperl** (Gumpendorfer Straße 11), a traditional coffeehouse since 1880. Enjoy a coffee and pastry in a beautifully preserved setting.  
  *Note: Closed on Sundays in July &amp; August.*
---
### 🌳 **Day 3: Parks, Play &amp; Local Flair**
**Theme:** Nature, Leisure &amp; Local Life
- **Morning (06:30–08:30): Schönbrunn Palace Gardens (Free Entry)**  
  Arrive early at **Schönbrunn Gardens** (opens at 06:30). Walk through the grand avenues and enjoy the **Gloriette terrace** with stunning views—almost empty before the palace opens.  
  *Tip: Take the U4 line from the city center (15 min).*
- **Late Morning (09:30–11:00): Schönbrunn Palace (Optional)**  
  If you wish, visit the palace (€23 online). The Habsburg summer residence is a masterpiece of Baroque architecture.
- **Lunch (12:00–13:00): Prater or Local Café**  
  Head to the **Prater**, Vienna’s historic amusement park. Ride the **Ferris Wheel (Riesenrad)**, explore fun houses, or enjoy a casual lunch at a local café.
- **Afternoon (14:00–16:00): Augarten Park &amp; Art**  
  Visit **Augarten**, Vienna’s oldest Baroque park. Explore the gardens, the **Augarten Palace**, and the **World War II tower**. The park also features an enclosed playground and a café.
- **Evening (18:00–20:00): Heuriger Wine Tavern (Optional)**  
  End your trip with a visit to a **Heuriger** (wine tavern) in the **Grinzing** or **Neubau** district. Enjoy local wine, *Käsekrainer*, and live music in a cozy, authentic setting.
---
### 📌 **Travel Tips &amp; Essentials**
- **Transport:** Buy a **48-hour public transport pass** (€15) for unlimited travel on trams, buses, and U-Bahn.
- **Museum Pass:** Consider the **7 Museums Pass (€53)** if visiting multiple museums.
- **Coffee Culture:** Most coffeehouses are open daily (except Sundays in summer for some). Always order a coffee and a pastry—no need to eat, but it’s part of the ritual.
- **Parks:** All major parks (Schönbrunn, Augarten, Volksgarten) are free to enter. The **Volksgarten** (near Ringstraße) is especially beautiful with its rose gardens and Greek-style temple.
---
Enjoy your unforgettable trip to Vienna—where art, history, and coffee meet in perfect harmony! ☕🎨🌳</t>
  </si>
  <si>
    <t>Unsupported factual claim; Wrong location within city</t>
  </si>
  <si>
    <t>Все три интереса (музеи, кофе, парки) раскрыты, дни сгруппированы географически, нагрузка умеренная. Адреса Café Central (Herrengasse 14) и Café Sperl (Gumpendorfer Straße 11) указаны верно, трамвай D к Бельведеру и открытие садов Шёнбрунна в 06:30 — тоже. Ошибки: хойригер предложен в Гринциге «или Нойбау» — в Нойбау (7-й район) хойригеров нет; примечание про Leopold Museum само себе противоречит («открыт ежедневно, закрыт по вторникам»); цены 48-часового проездного €15 и «7 Museums Pass €53» не подтверждаются. День 3 разбросан: Шёнбрунн → Пратер → Аугартен → Гринцинг.</t>
  </si>
  <si>
    <t>### **4-Day Paris Itinerary for First-Time Visitors: Major Sights &amp; Hidden Gems**
This balanced itinerary blends iconic landmarks with authentic, less-crowded neighborhoods, ensuring a memorable and stress-free experience. The plan prioritizes timing to avoid peak crowds and includes practical tips for navigating Paris like a local.
---
### **Day 1: Left Bank &amp; Eiffel Tower – Classic Paris Beginnings**
**Theme:** Iconic sights with a relaxed pace  
**Best time to visit:** Early morning (9:00–10:00 AM) to avoid crowds  
- **Morning:**  
  - Start in the **Latin Quarter (5th Arrondissement)**. Stroll through narrow cobbled streets, visit **Sainte-Chapelle** (book 9:00 AM entry for fewer crowds).  
  - Walk across the **Pont Neuf** and enjoy views of the Seine.  
- **Midday:**  
  - Head to the **Louvre Museum** (book timed entry in advance). Focus on highlights: *Mona Lisa*, *Venus de Milo*, and the **Denon Wing**.  
  - Lunch at **Le Café Marly** (inside the Louvre) or a nearby bistro in the **Palais-Royal** gardens.  
- **Afternoon:**  
  - Walk along the **Seine** toward the **Eiffel Tower**.  
  - Skip the top of the tower—instead, enjoy a **picnic at Trocadéro Gardens** (best view of the Eiffel Tower without the queue).  
- **Evening:**  
  - Sunset walk along the **Champ de Mars**.  
  - Dinner at **Le Jules Verne** (Eiffel Tower restaurant) or a cozy bistro in **Saint-Germain-des-Prés**.  
&gt; ✅ *Pro Tip:* Visit the Louvre on a **Tuesday or Wednesday** for 30–40% fewer crowds.
---
### **Day 2: Gothic Heart &amp; Le Marais – History &amp; Culture**
**Theme:** Medieval charm and vibrant neighborhoods  
- **Morning:**  
  - Explore **Île de la Cité**. Visit **Notre-Dame Cathedral** (exterior view; interior is under restoration).  
  - Walk through **Sainte-Chapelle** (if not visited yesterday) or **Cluny Museum** (excellent medieval art).  
- **Midday:**  
  - Lunch in **Le Marais (3rd/4th Arrondissement)**—try **Bouillon Pigalle** or **L’As du Fallafel**.  
- **Afternoon:**  
  - Wander **Le Marais’ cobbled streets**, visit **Place des Vosges** (Paris’s oldest square).  
  - Explore **Musée d’Art Moderne de la Ville de Paris** (free entry, great modern art).  
- **Evening:**  
  - Sunset at **Jardin du Luxembourg** (picnic with wine and cheese).  
  - Dinner at **Chez Janou** (authentic French bistro).  
&gt; ✅ *Hidden Gem:* **Le Marais** is lively but less touristy than the Champs-Élysées—perfect for exploring on foot.
---
### **Day 3: Montmartre &amp; Bohemian Paris – Art &amp; Local Life**
**Theme:** Artistic soul and village charm  
- **Morning:**  
  - Take Metro Line 12 to **Montmartre**.  
  - Visit **Sacré-Cœur Basilica** (early morning for best light and fewer crowds).  
  - Walk the **Place du Tertre** (artists’ square) and enjoy street performances.  
- **Midday:**  
  - Lunch at **Le Consulat** (classic Parisian café with a view).  
- **Afternoon:**  
  - Explore **Batignolles (17th Arrondissement)**—a bohemian, village-like neighborhood with:  
    - **Parc Monceau** (beautiful French garden).  
    - **Marché des Batignolles** (local food market).  
    - **Café de la Mairie** (great coffee and local vibe).  
- **Evening:**  
  - Dinner at **Le Comptoir du Relais** (intimate, authentic French cuisine).  
  - Optional: Catch a show at **Moulin Rouge** (book in advance).  
&gt; ✅ *Why it works:* The **17th Arrondissement** is less touristy, with real Parisian life—perfect for a cultural escape.
---
### **Day 4: Day Trip to Versailles – Royal Grandeur**
**Theme:** Royal history and gardens  
- **Morning:**  
  - Take the RER C train from **Château de Versailles Rive Gauche** (30 min from central Paris).  
  - Visit the **Hall of Mirrors** and **Royal Apartments** (book tickets in advance).  
- **Midday:**  
  - Explore the **Gardens of Versailles** (walk through fountains, statues, and the Grand Canal).  
  - Picnic in the gardens (bring French bread, cheese, and wine).  
- **Afternoon:**  
  - Return to Paris via RER C.  
  - Final stop: **Buttes-Chaumont Park (19th Arrondissement)**—a hidden gem with a lake, waterfall, and hilltop vineyard.  
  - Sunset view from **Pavillon de la Reine** (free, panoramic).  
- **Evening:**  
  - Farewell dinner at **Le Petit Pontoise** (cozy, local favorite).  
&gt; ✅ *Pro Tip:* Visit Versailles on a **weekday** to avoid weekend crowds. Return by 5:00 PM to enjoy Paris in the evening.
---
### **Key Travel Tips for First-Time Visitors**
- **Best Time to Visit:** **September–October** (ideal weather, fewer crowds, lower prices).  
- **Avoid:** July–August (peak season), Christmas holidays, and long weekends.  
- **Transport:** Use **Paris Metro** (buy a **Navigo pass** for unlimited travel).  
- **Tickets:** Book **Louvre, Eiffel Tower, Versailles, and Sainte-Chapelle** in advance.  
- **Neighborhoods to Explore:** Le Marais, Batignolles (17th), Buttes-Chaumont (19th) for authentic Paris.  
---
This itinerary offers a perfect balance: iconic sights without the chaos, hidden gems with local charm, and a relaxed pace to truly enjoy the City of Light. 🌟</t>
  </si>
  <si>
    <t>Wrong location within city; Unsupported factual claim; Bad route logic</t>
  </si>
  <si>
    <t>Баланс «главное + нетуристическое» заявлен и частично выдержан (Батиньоль, Бют-Шомон). Критично по географии: Bouillon Pigalle отнесён к Маре (он на Пигаль), Musée d'Art Moderne de la Ville de Paris — тоже к Маре (фактически 16-й округ, Пале-де-Токио), закатная панорама в Бют-Шомоне приписана «Pavillon de la Reine» — это отель на площади Вогезов, а видовая точка там Храм Сивиллы. Сент-Шапель отнесена к Латинскому кварталу и продублирована в дни 1 и 2. День 1 перегружен (Латинский квартал + Лувр + Эйфелева башня), ужин в Le Jules Verne подан наравне с «уютным бистро». День 4: Версаль и возвращение в 19-й округ — слишком много.</t>
  </si>
  <si>
    <t>### **Two-Day Itinerary in Prague: Architecture, Czech Food &amp; Evening Walks**
This curated two-day itinerary blends Prague’s iconic architecture, authentic Czech cuisine, and enchanting evening walks—perfect for experiencing the soul of the city.
---
### **Day 1: Old Town, Jewish Quarter &amp; Charles Bridge**
**Morning: Old Town Square &amp; Astronomical Clock**  
- Start your day at **Old Town Square**, home to the famous **Astronomical Clock**. Watch the hourly show (12:00 PM is the most dramatic).  
- Explore the surrounding historic buildings, including the **Church of Our Lady before Týn** and the **Jan Hus Monument**.
**Mid-Morning: Jewish Quarter (Josefov)**  
- Walk through the **Jewish Quarter**, one of the oldest and most significant Jewish communities in Europe.  
- Visit key sites:  
  - **Old Jewish Cemetery** (the most famous Jewish cemetery in the world, with stacked tombstones).  
  - **Pinkas Synagogue** (a moving memorial to Holocaust victims).  
  - **Spanish Synagogue** (a stunning example of Moorish Revival architecture).  
**Midday: Lunch in Old Town**  
- Enjoy a traditional Czech meal at **Malostranský Hostinec** (Malostranské nám. 260/11, Malá Strana).  
  - Try **goulash**, **svíčková** (beef with cream sauce), or **trdelník** (sweet chimney cake).  
  - The restaurant offers a terrace with panoramic views of Prague Castle.
**Afternoon: Charles Bridge &amp; Malá Strana**  
- Cross the **Charles Bridge** (arrive early to avoid crowds). Admire the 30 Baroque statues and the iconic views of Prague Castle and the Vltava River.  
- Walk through **Malá Strana** (Lesser Town), one of Prague’s most architecturally preserved districts.  
- Stroll down **Nerudova Street**, lined with historic baroque houses and unique house signs (e.g., the Two Suns, Three Fiddles).  
- Visit **Malostranské náměstí (Malá Strana Square)** and the **Church of St. Nicholas**, a masterpiece of Baroque architecture.
**Evening: Café Slavia &amp; River Walk**  
- Begin your evening at **Café Slavia** (facing the Vltava River and National Theatre), a historic café since 1884.  
  - Order a **Vídeňská káva** (espresso with whipped cream) and enjoy the ambiance.  
- Take a **sunset walk along the Vltava River** from Café Slavia to Malá Strana.  
  - As dusk falls, the **Prague Castle lights up**, creating a magical reflection on the water.  
  - The walk offers breathtaking views of the castle, bridges, and the city skyline.
---
### **Day 2: Prague Castle, Petřín Hill &amp; Kampa Island**
**Morning: Prague Castle Complex (Before the Crowds)**  
- Arrive at **Prague Castle** early (9:00 AM) to avoid tour groups.  
- Take **Tram 22** or walk up from the top (via Pohořelec) for a scenic approach.  
- Explore the complex with **Circuit B (250 CZK)**:  
  - **St. Vitus Cathedral** (Gothic masterpiece with stunning stained glass).  
  - **Old Royal Palace** (historic seat of Bohemian kings).  
  - **Basilica of St. George** (Romanesque church with a beautiful interior).  
  - **Golden Lane** (tiny, colorful houses once home to castle guards and alchemists).
**Mid-Morning: Malá Strana &amp; Hidden Gardens**  
- Walk down **Nerudova Street** again, this time with a different perspective.  
- Visit **Wallenstein Garden** (free, April–October) – a hidden gem with peacocks and a dripstone grotto.  
- Explore **Vrtba Garden** (modest entry fee, April–October) – a terraced Baroque masterpiece with fountains, statues, and panoramic views.
**Lunch: Authentic Czech Food in Malá Strana**  
- Dine at **Baráčnická rychta** (Malá Strana, historic building since 1926).  
  - Try **slow-roasted beef goulash**, **duck leg with red cabbage**, or the **Miller’s Bastion platter** (a hearty mix of meats).  
  - Pair your meal with **Krušovice tank beer** (unpasteurized and fresh).  
**Afternoon: Petřín Hill &amp; Funicular**  
- Take the **Petřín Funicular** (near Malostranské náměstí) to the top of Petřín Hill.  
- Walk through **Petřín Park** and visit the **Petřín Lookout Tower** (a smaller version of the Eiffel Tower).  
- Enjoy panoramic views of Prague from the summit.
**Evening: Kampa Island &amp; John Lennon Wall**  
- Walk across **Kampa Island** (a peaceful, green oasis in the middle of the Vltava).  
- Visit the **John Lennon Wall**, a vibrant, ever-changing tribute to peace and music.  
- End your day with a **classical concert** at a historic venue (e.g., **St. Nicholas Church** or **Smetana Hall**).  
  - Check local listings for evening performances (often 7:00–9:00 PM).
---
### **Tips for Your Trip**
- **Best Time to Visit**: April–October for pleasant weather and longer daylight.  
- **Evening Walks**: Start at **7:00 PM in summer** (when floodlights illuminate the castle) or **5:30 PM in winter**.  
- **Transport**: Use the metro (Line A), trams (22, 23), or walk—Prague is very walkable.  
- **Currency**: Czech Koruna (CZK). Credit cards are widely accepted, but carry cash for smaller eateries.
---
This itinerary balances history, culture, and culinary delights—perfect for a memorable two-day adventure in Prague. Enjoy the magic of the city!</t>
  </si>
  <si>
    <t>Два дня разведены логично: Старый город и Йозефов — Град, Петршин, Кампа; вечерние прогулки и чешская еда действительно вписаны. Ошибки: пункт «обед в Старом городе» ведёт в Malostranský Hostinec на Малой Стране, то есть до перехода через мост; «Miller's Bastion platter» в Baráčnická rychta не подтверждается; цена круга B в Пражском Граде (250 CZK) устарела; фраза про трамвай 22 «или подъём пешком сверху через Погоржелец» бессвязна; Петршинский фуникулёр указан у Малостранской площади, фактически от Уезда.</t>
  </si>
  <si>
    <t>### **3-Day Rome Itinerary: Ancient History, Art &amp; a Relaxed Afternoon**
This carefully crafted itinerary balances Rome’s rich ancient heritage, world-class art, and a serene afternoon escape—perfect for a memorable trip.
---
#### **Day 1: Ancient Rome &amp; the Heart of the Historic Center**
**Theme:** *Imperial ruins and timeless monuments*
- **Morning (9:00 AM – 12:30 PM): Colosseum, Roman Forum &amp; Palatine Hill**  
  - **Pre-booked skip-the-line entry** is essential (book via official site or trusted platforms).  
  - Explore the Colosseum’s arena, the dramatic Roman Forum, and climb Palatine Hill for panoramic views of the city’s ancient roots.  
  - *Tip:* Allocate 2–2.5 hours for a thorough visit.
- **Afternoon (2:30 PM – 5:30 PM): Centro Storico Walking Loop**  
  - Stroll west through Rome’s historic core at a relaxed pace:  
    - **Piazza Venezia &amp; Vittoriano** – Climb the back stairs for a free city view.  
    - **Largo di Torre Argentina** – A sunken square with ancient Roman temples and a famous cat sanctuary.  
    - **Pantheon** – Visit the world’s best-preserved ancient Roman temple (€5 entry, check current fee).  
    - **Piazza Navona** – Admire Bernini’s Fountain of the Four Rivers.  
    - **Campo de’ Fiori** – Stop for a coffee or gelato.  
    - **Trevi Fountain** – Arrive in the late afternoon to enjoy the iconic fountain before the evening crowds.  
- **Evening:** Dinner in Trastevere, a charming neighborhood with authentic Roman cuisine.
---
#### **Day 2: Baroque Art &amp; the Galleria Borghese**
**Theme:** *Masterpieces of Caravaggio and Bernini*
- **Morning (9:00 AM – 11:00 AM): Galleria Borghese (Timed Entry)**  
  - **Book in advance** via the official website (*galleriaborghese.beniculturali.it*) or trusted platforms.  
  - Tickets cost €16 + €2 reservation fee, with five daily slots (9:00, 11:00, 13:00, 15:00, 17:00).  
  - *Recommended slot:* **9:00 AM** for the best light and smallest crowds.  
  - Highlights: Caravaggio’s *David with the Head of Goliath*, Bernini’s *Apollo and Daphne*, and Canova’s sculptures.
- **Afternoon (1:30 PM – 5:00 PM): Villa Borghese Park (Free &amp; Relaxed)**  
  - **No booking required** – enjoy the park’s 80 hectares of gardens, fountains, and lake.  
  - Activities:  
    - Walk the shaded paths.  
    - Visit the **Terrazza del Pincio** for golden-hour views over Rome.  
    - Rent a rowboat on the **Laghetto** (artificial lake with a neoclassical temple).  
    - Picnic on the grass or relax by the water.  
  - *Perfect for unwinding after a morning of art.*
- **Evening:** Dinner near Piazza Barberini or Via Veneto.
---
#### **Day 3: Vatican Art &amp; a Quiet City Escape**
**Theme:** *Renaissance grandeur and peaceful reflection*
- **Morning (9:00 AM – 12:30 PM): Vatican Museums &amp; Sistine Chapel**  
  - **Pre-booked timed entry** is mandatory (book via official Vatican Museums site).  
  - Explore Michelangelo’s frescoes in the Sistine Chapel, the Raphael Rooms, and the vast art collections.  
  - *Tip:* Arrive early to avoid crowds.
- **Afternoon (2:00 PM – 5:00 PM): Giardino degli Aranci (Aventine Hill Garden)**  
  - **Free entry** – a peaceful retreat with panoramic city views.  
  - Highlights:  
    - Rows of bitter orange trees.  
    - The **Aventine Keyhole** (a famous optical illusion).  
    - The terrace offers a serene atmosphere, especially in late afternoon.  
  - *Best visited in spring (April–June) or autumn (September–October) for pleasant weather and blooming trees.*
- **Evening:** Sunset at the **Spanish Steps** or a relaxed drink at a rooftop bar.
---
### **Key Tips for Your Trip**
- **Booking Ahead:** Galleria Borghese and Vatican Museums sell out weeks in advance—book early.  
- **Comfortable Shoes:** Rome is best explored on foot.  
- **Timing:** Avoid midday heat in summer; mornings are ideal for sightseeing.  
- **Relaxation:** The Villa Borghese and Giardino degli Aranci offer perfect escapes from the city’s pace.
Enjoy your journey through Rome’s timeless beauty! 🏛️🎨🌳</t>
  </si>
  <si>
    <t>—</t>
  </si>
  <si>
    <t>Лучший ответ батча. Античность, искусство и «спокойный день» разведены по трём дням без наложений: Колизей и Форум — Галерея Боргезе и вилла Боргезе — Ватикан и Апельсиновый сад на Авентине. Факты выдержаны: Пантеон €5 с оговоркой про актуальную цену, Боргезе €16 + €2 бронирования и пять слотов 9/11/13/15/17, парк 80 га, прокат лодок на озере, замочная скважина на Авентине — всё верно. Единственная шероховатость — послеобеденная петля дня 1 заканчивается Треви с возвратом на восток.</t>
  </si>
  <si>
    <t>Here is a well-balanced, relaxed four-day trip plan for Barcelona, focusing on architecture, beaches, and food markets—without overloading your days.
---
### **Day 1: Gothic Quarter &amp; El Born – Historic Heart &amp; Local Flavors**
- **Morning**: Explore the **Gothic Quarter (Barri Gòtic)**, starting with the **Barcelona Cathedral** and wandering through narrow medieval streets.
- **Lunch**: Enjoy a casual meal at **El Xampanyet** (a local favorite) or a tapas bar in **El Born**.
- **Afternoon**: Visit **Casa Vicens** (Gaudí’s first major work), a lesser-known gem with stunning tilework and garden design. *Tip: Book tickets in advance via [casavicens.org](https://www.casavicens.org)*.
- **Evening**: Stroll through **El Born**’s boutiques and enjoy a drink at a rooftop bar like **La Terraza del Born**. Dinner at a traditional Catalan restaurant (e.g., **Can Culleretes**).
---
### **Day 2: Gaudí Architecture &amp; Gràcia – Creative Neighborhoods**
- **Morning**: Visit the **Sagrada Família** (book timed entry in advance). Spend 2–3 hours exploring its intricate façades and interior.
- **Lunch**: Eat at **Cafè del Nord** in the Eixample district—great for a relaxed, modern Catalan meal.
- **Afternoon**: Head to **Park Güell**, Gaudí’s whimsical public park. Wander the mosaic-covered paths and enjoy panoramic city views.
- **Evening**: Explore **Gràcia**, a bohemian neighborhood with charming plazas. Dine at **Can Culleretes** (if not already visited) or **La Vinya del Senyor** for authentic Catalan cuisine.
---
### **Day 3: Beach Day &amp; Barceloneta – Sea, Sun &amp; Local Market**
- **Morning**: Relax at **Barceloneta Beach**—one of Barcelona’s most iconic beaches. Enjoy the sea, rent a deckchair, or take a swim.
- **Lunch**: Visit **Barceloneta Market** (a local alternative to La Boqueria), where you can sample fresh seafood, cheeses, and local produce.
- **Afternoon**: Walk along the **Passeig del Born** promenade, explore the **Museu d’Història de Barcelona (MUHBA)**, or simply wander the seaside streets.
- **Evening**: Dinner at a beachfront seafood restaurant like **Can Majó** or **El Xampanyet** (if not already visited).
---
### **Day 4: Montjuïc &amp; Farewell – Views, Culture &amp; Final Flavors**
- **Morning**: Take the funicular or bus up to **Montjuïc Hill**. Visit the **Montjuïc Castle**, **Magic Fountain**, and enjoy the city views.
- **Lunch**: Have a light meal at **Cafè de la Muntanya** or a café in the **Poble Espanyol** (a cultural complex with architecture from different Spanish regions).
- **Afternoon**: Optional: Visit the **Museu Nacional d’Art de Catalunya (MNAC)** or relax in the **Jardins de Mossèn Costa i Llobera**.
- **Evening**: Final dinner in **Gràcia** or **El Born**, followed by a sunset drink at **Terraza del Poble Sec** or **La Terraza del Born**.
---
### **Key Tips for a Stress-Free Trip:**
- **Book tickets in advance** for Sagrada Família, Casa Vicens, and Park Güell to avoid long lines.
- **Walk or use public transit**—Barcelona is very walkable, and the metro is efficient.
- **Eat like a local**: Prioritize markets (Barceloneta, La Boqueria), tapas bars, and neighborhood restaurants.
- **Take breaks**: Allow time for coffee, people-watching, and spontaneous exploration.
This itinerary balances iconic sights with local experiences, ensuring you enjoy Barcelona’s architecture, beaches, and food culture without feeling rushed. Enjoy your trip! 🌞🏙️🌊</t>
  </si>
  <si>
    <t>Hallucinated place; Wrong location within city; Low relevance</t>
  </si>
  <si>
    <t>Требование «без перегруза» выполнено, но повторов много: Can Culleretes и El Xampanyet предлагаются дважды («если ещё не были»), Эль-Борн посещается в дни 1 и 3. Критично: El Xampanyet назван «пляжным рыбным рестораном» (это тапас-бар в Борне), La Vinya del Senyor отнесена к Грасии (она у Санта-Мария-дель-Мар); Cafè del Nord, Cafè de la Muntanya, Terraza del Poble Sec, La Terraza del Born не подтверждаются. Рынки — заявленный интерес — сведены к одному упоминанию рынка Барселонеты, Бокерия только в советах. Волшебный фонтан предложен утром, хотя это вечернее шоу.</t>
  </si>
  <si>
    <t>### **3-Day Amsterdam Itinerary: Museums, Canals &amp; a Day Trip**
This curated 3-day plan balances Amsterdam’s iconic museums, scenic canal views, and a memorable day trip to nearby highlights. All options are accessible by public transport, with tips to avoid crowds and maximize your experience.
---
### **Day 1: Iconic Museums &amp; Canal Highlights**
**Morning: Rijksmuseum &amp; Van Gogh Museum**  
- Start at the **Rijksmuseum** (8:00 AM opening) to explore Dutch masterpieces like *The Night Watch* and 17th-century Golden Age art.  
- Head to the **Van Gogh Museum** (10:00 AM) for a deep dive into the artist’s life and works.  
- *Pro Tip:* Book timed-entry tickets in advance to skip long queues. Consider a combo tour (e.g., [Exploring Amsterdam’s Ultimate Combo](src_3b292553a0)) for guided access and seamless transitions.
**Afternoon: Canal Boat Cruise**  
- Enjoy a **1.5-hour guided canal cruise** with Stromma or Flagship Amsterdam (departing near Rijksmuseum or Central Station).  
- Highlights: Skinny Bridge, Golden Bend, and UNESCO-listed canal architecture.  
- *Bonus:* Opt for a sunset cruise (if available) for golden-hour views.
**Evening: Dinner in Jordaan**  
- Stroll through the charming Jordaan district. Try **De Kas** (farm-to-table dining) or **Brouwerij ’t IJ** (local brews with canal views).
---
### **Day 2: Amsterdam’s Heart &amp; Culture**
**Morning: Explore the Canals &amp; Local Life**  
- Walk along the **Prinsengracht** and **Herengracht** canals.  
- Visit **Anne Frank House** (book tickets *months* in advance via [official site](https://www.annefrank.org)).  
- Stop by **De Pijp** for coffee at **Café de Jaren** and browse the Albert Cuyp Market (open daily, 9:00 AM–5:00 PM).
**Afternoon: Moco Museum &amp; Vondelpark**  
- See contemporary art at the **Moco Museum** (modern works by Banksy, Warhol, and Haring).  
- Relax in **Vondelpark**, Amsterdam’s green lung. Rent a bike or enjoy a picnic.
**Evening: Dinner &amp; Nightlife**  
- Dine at **Burgermeester** (creative Dutch cuisine) or **The Seafood Bar** (fresh oysters and fish).  
- End with a drink at **Café de Rederij** (hidden speakeasy vibe) or a rooftop bar like **The Rooftop at The Hoxton**.
---
### **Day 3: Day Trip to Zaanse Schans &amp; Windmills**
**Morning: Zaanse Schans (20 min by train)**  
- Take a direct train from Amsterdam Centraal to **Zaandijk Zaanse Schans** (every 10–15 minutes).  
- Explore the open-air village:  
  - **Windmills** (De Kat, De Bonte Hen)  
  - **Clog-making workshops** and **cheese factories**  
  - **Traditional Dutch houses** and gardens  
- *Pro Tip:* Visit before 10:30 AM to avoid crowds.
**Midday: Lunch &amp; Optional Add-Ons**  
- Eat at **De Koe** (farmhouse-style restaurant) or **Zaanse Schans Koffie** (local coffee and pastries).  
- *Optional:* Combine with a visit to **Volendam** (fishing village, 15 min by bus) or **Marken** (colorful island village).
**Afternoon: Return to Amsterdam &amp; Farewell**  
- Return via train (30 min).  
- Final stop: **NEMO Science Museum** (if time allows) or a relaxed canal-side walk.
---
### **Key Travel Tips**
- **Transport:** Use an **OV-chipkaart** or **NS app** for seamless train/bus travel.  
- **Tickets:** Book museum and Keukenhof tickets online to avoid sold-out days.  
- **Best Time to Visit:**  
  - **Zaanse Schans:** Any time (ideal for families).  
  - **Keukenhof (if added):** Late April–early May (peak tulip bloom).  
- **Avoid Crowds:** Visit museums on weekdays, early mornings, or late afternoons.
---
This itinerary blends culture, nature, and local charm—perfect for a memorable Amsterdam adventure!</t>
  </si>
  <si>
    <t>Wrong location within city; Unsupported factual claim; Poor formatting</t>
  </si>
  <si>
    <t>Структура запроса выполнена: музеи, каналы, поездка в Заансе-Сханс с верной станцией Zaandijk Zaanse Schans. Критично по географии: De Kas (Франкендал) и Brouwerij 't IJ (мельница De Gooyer на востоке) отнесены к Йордану, Café de Jaren — к Де Пейпу, фактически центр. Рейксмузеум заявлен с открытием в 08:00 (реально 09:00), Волендам — «15 минут автобусом» от Заансе-Сханс. В текст утёк сырой id источника (src_3b292553a0), а в советах фигурирует Кёкенхоф, которого в плане нет.</t>
  </si>
  <si>
    <t>### **3-дневный план поездки в Будапешт: архитектура, термы и венгерская кухня**
---
#### **День 1: Буда — история, виды и архитектура**
**Фокус:** Исторический центр, живописные панорамы, средневековая архитектура.
- **08:00–10:00** — **Рыцарская крепость (Fisherman’s Bastion)**  
  Начните день с посещения этого символа Будапешта. Отсюда открывается потрясающий вид на Дунай, Венгерский парламент и Пест. Архитектура в стиле неоготики и необарокко — идеальное фото-место.
- **10:00–11:30** — **Церковь Святого Матиаса (Matthias Church)**  
  Прогуляйтесь по узким улочкам Буды к этой красивой церкви с мозаиками, башнями и деталями в стиле венгерского романтизма.
- **11:30–13:00** — **Королевский дворец (Buda Castle)**  
  Пройдитесь по дворцовым залам, посетите музей и насладитесь видами с террас.
- **13:00–14:30** — **Обед в ресторане**  
  Рекомендуем: **Vidróczki Gulyás Csárda** (Garay u. 11, District VII) — традиционная венгерская кухня, густой гуляш, пирожки, доступные цены (4 000–6 000 HUF).
- **15:00–17:00** — **Геллерт-холм (Gellért Hill)**  
  Поднимитесь на холм (20–30 мин пешком). Отсюда — один из самых живописных видов на город. Внизу — **Геллертский термальный бассейн** (в 2026 году закрыт на реконструкцию, но внешний вид стоит посмотреть).
- **18:00–20:00** — **Ужин в историческом квартале**  
  Попробуйте **Gettó Gulyás** (Jewish Quarter) — популярный ресторан с домашним гуляшом, паприкашем и пирожками. Атмосфера как в старинной таверне.
---
#### **День 2: Пест — столица, рынки и термы**
**Фокус:** Современная архитектура, рынки, термальные бани.
- **08:00–10:00** — **Венгерский парламент (Hungarian Parliament)**  
  Посетите снаружи и, если есть время, пройдитесь по внутренним залам (забронируйте билет заранее). Особенно красиво вечером — когда освещается.
- **10:30–12:00** — **Великий рынок (Great Market Hall)**  
  Прогуляйтесь по лавкам, попробуйте венгерские колбасы, сыр, паприку, вино. Закажите ланч — например, **лángос** (жареный картофель с сыром и сметаной) — у одного из киосков.
- **12:30–14:30** — **Обед в ресторане**  
  Попробуйте **Magyar Ízek Magyar Háza** (District V) — традиционная кухня, гуляш, лангос, доступные цены.
- **15:00–18:00** — **Термальные бани: Сцёчени (Széchenyi Thermal Bath)**  
  **Рекомендуется бронировать билет онлайн**.  
  - **Время работы:** 06:00–22:00 (вход с 06:00 — лучшее время, чтобы избежать толпы).  
  - **Цена:** 9 900–11 500 HUF (день с шкафчиком), 13 200–14 800 HUF в выходные.  
  - **Что посмотреть:** три открытых бассейна (34–38°C), 15 внутренних, паровые комнаты, архитектура 1913 года.  
  - **Совет:** приходите с утра, чтобы насладиться тишиной и видами.
- **19:00–21:00** — **Ужин на борту круиза по Дунаю**  
  Забронируйте **ужин-круиз** с живой музыкой, венгерской кухней (гуляш, паприкаш, пирожки) и видом на освещённый город. Продолжительность — 3 часа. Отличный способ завершить день.
---
#### **День 3: Джуда-квартал — культура, история и вечерняя жизнь**
**Фокус:** История еврейского Будапешта, урбанистика, вечерние бары.
- **09:00–11:00** — **Синагога Догань (Dohány Synagogue)**  
  Самая большая синагога в Европе. Посетите музей и насладитесь архитектурой в стиле неоренессанс.
- **11:30–13:00** — **Музей террора (House of Terror)**  
  Узнайте о советской и нацистской диктатуре в Венгрии. Мощный, но важный опыт.
- **13:30–15:00** — **Обед в Джуда-квартале**  
  Попробуйте **Gettó Gulyás** (если не ели вчера) или **Lángos Kiosk** — идеальный перекус.
- **15:30–17:30** — **Прогулка по улицам и руин-барам**  
  Пройдитесь по улочкам, посетите **ruin bars** (например, **Szimpla Kert** — культовое место с арт-декором, живой музыкой, крафтовым пивом).
- **19:00–22:00** — **Вечерняя прогулка по Дунаю**  
  Прогуляйтесь по мостам, посмотрите, как город светится вечером. Если хотите — посетите **Sparta Night** (вечерние вечеринки в термальных бассейнах, с диджеями и подсветкой — билеты от 14 000 HUF).
---
### **Советы по поездке:**
- **Транспорт:** Купите **72-часовую карту BKK** (около 3 500 HUF) — удобно для метро, автобусов и трамваев.
- **Бронирование:** Забронируйте **парламент**, **термальные бани** и **ужин-круиз** заранее.
- **Валюта:** 1 EUR ≈ 380 HUF (2026).
- **Одежда:** Возьмите плавки, халат (можно арендовать на месте), удобную обувь.
---
**Итог:**  
Этот план охватывает **архитектуру** (Буда, Пест, мосты), **термы** (Széchenyi — главный выбор), и **венгерскую кухню** (гуляш, лангос, паприкаш, пиво, пальминка). Будапешт — город, где история, природа и гастрономия сливаются в одно незабываемое впечатление.</t>
  </si>
  <si>
    <t>Hallucinated place; Unsupported factual claim; Bad route logic; Poor formatting</t>
  </si>
  <si>
    <t>Три интереса формально закрыты, Сечени, Гетто Гуйяш, Szimpla Kert, синагога на Дохань — реальные, часы и цены бань правдоподобны. Критично: Рыбацкий бастион назван «Рыцарской крепостью», лангош описан как «жареный картофель с сыром» (это лепёшка из теста), вечеринка в банях названа «Sparta Night» (реально Sparty), ресторан Vidróczki Gulyás Csárda не подтверждается. Логика ломается: день на Буде, а обед назначен по адресу Garay u. 11 в VII районе Пешта. Смешение алфавитов («лángos»), «пальминка» вместо палинки.</t>
  </si>
  <si>
    <t>### **4-Day Travel Plan in Lisbon: Historical Districts, Ocean Views &amp; Local Cuisine**
Lisbon, the sun-kissed capital of Portugal, blends ancient charm with coastal beauty and world-class cuisine. This 4-day itinerary balances historic exploration, oceanic escapes, and authentic culinary experiences.
---
### **Day 1: Historic Heart – Baixa, Chiado &amp; Alfama**
**Theme:** *Wander through Lisbon’s oldest streets and enjoy panoramic views.*
- **Morning: Baixa &amp; Chiado**
  - Start at **Praça do Comércio**, a grand square by the Tagus River, once a bustling port.
  - Walk through **Rua Augusta**, lined with shops and ending at the **Santa Justa Lift**—ride up for a bird’s-eye view of the city.
  - Explore **Chiado**, a stylish district with elegant cafes, bookshops, and street art.
- **Afternoon: Alfama – The Soul of Lisbon**
  - Wander the narrow, winding streets of **Alfama**, Lisbon’s oldest neighborhood.
  - Visit **Lisbon Cathedral (Sé de Lisboa)**, a 12th-century fortress-church with Romanesque and Gothic elements.
  - Stop by **Miradouro de Santa Luzia** for a breathtaking view of the river and rooftops, often accompanied by fado music.
- **Evening: Sunset &amp; Dinner**
  - Head to **Miradouro de Santa Catarina** for a relaxed sunset with drinks and local snacks.
  - Dinner at **Cervejaria Ramiro** (a must-visit) for legendary seafood, especially **brown crab in garlic butter**.
---
### **Day 2: Belém – The Age of Discoveries**
**Theme:** *Maritime history, iconic monuments, and pastries.*
- **Morning: Belém District**
  - Take the tram or metro to **Belém**.
  - Visit the **Belém Tower**, a 16th-century fortress guarding the Tagus River.
  - Explore the **Jeronimos Monastery**, a UNESCO World Heritage Site with stunning Manueline architecture.
- **Midday: Sweet Treats &amp; River Views**
  - Stop at **Pastéis de Belém** for the original **custard tarts (pastéis de nata)**—a Lisbon institution.
  - Enjoy a riverside walk along the Tagus, with views of the **Padrão dos Descobrimentos** (Monument to the Discoveries).
- **Afternoon: Relax &amp; Reflect**
  - Stroll through **Parque das Nações** or enjoy a quiet moment at **Praça do Comércio**.
- **Evening: Fado Night**
  - Experience traditional **fado music** at a small venue like **Clube de Fado** or **Fado ao Centro**.
  - Dinner at **Cantinho do Avillez** for modern Portuguese cuisine with a creative twist.
---
### **Day 3: Coastal Escape – Cascais &amp; Guincho Beach**
**Theme:** *Atlantic Ocean views, surf culture, and seaside charm.*
- **Morning: Train to Cascais**
  - Take a scenic train from **Cais do Sodré** to **Cascais** (35 minutes).
  - Explore the **Cascais Historic Center**, with its colorful buildings, boutiques, and seaside promenade.
- **Midday: Beach Time at Praia do Guincho**
  - Head to **Praia do Guincho**, a wild Atlantic beach known for dramatic cliffs, strong winds, and excellent **kitesurfing**.
  - Enjoy a light lunch at a beachside café or picnic with local wine and cheese.
- **Afternoon: Sunset &amp; Cliffs**
  - Walk along the **Cabo da Roca** (Europe’s westernmost point) for panoramic ocean views.
  - Return to Cascais for a relaxed dinner at **Adega da Praia**, famous for grilled fish and seafood.
- **Evening: Return to Lisbon**
  - Take the train back to Lisbon, ending the day with a quiet walk along the river.
---
### **Day 4: Nature &amp; Culture – Day Trip to Arrábida**
**Theme:** *Turquoise waters, natural parks, and scenic beauty.*
- **Morning: Train to Sesimbra &amp; Arrábida**
  - Take a train to **Sesimbra** (1 hour from Lisbon), a charming fishing village.
  - Rent a car or join a guided tour to **Parque Natural da Arrábida** (south of the Tagus).
- **Midday: Praia do Portinho da Arrábida**
  - Visit **Praia do Portinho da Arrábida**, a secluded cove with crystal-clear turquoise water and limestone cliffs.
  - Swim, sunbathe, or hike along the coastal trails.
  - Enjoy a fresh grilled fish lunch at a seaside restaurant.
- **Afternoon: Scenic Views &amp; Return**
  - Visit **Miradouro da Arrábida** for sweeping views of the coast and forested hills.
  - Return to Lisbon in the late afternoon.
- **Evening: Farewell Dinner**
  - Final meal at **Restaurante Tavares**, one of Europe’s oldest restaurants (since 1784), for a refined tasting menu featuring classics like **Cod à Brás** and **Pistachio Soufflé**.
---
### **Key Tips:**
- **Transport:** Use the Lisbon Metro and trams (especially Tram 28 for Alfama). Trains to Cascais and Sesimbra are reliable and scenic.
- **Best Time to Visit:** April–October for warm weather and ocean swimming.
- **Local Dishes to Try:**
  - **Pastéis de Nata** (custard tarts)
  - **Bacalhau à Brás** (salted cod with eggs and potatoes)
  - **Piri Piri Chicken**
  - **Grilled Seafood &amp; Brown Crab**
  - **Ginjinha** (cherry liqueur, served in a chocolate cup)
---
Enjoy Lisbon’s blend of history, ocean, and flavor—where every corner tells a story. 🌅🌊🇵🇹</t>
  </si>
  <si>
    <t>Запрос на русском — ответ полностью на английском. Историческая часть и еда раскрыты хорошо (Алфама, Белен, Cervejaria Ramiro, Tavares с 1784 года). Критично: предложено ехать в Сезимбру поездом за час — железной дороги в Сезимбру нет, только автобус; «прогулка по Кабо-да-Рока» подана как продолжение пляжа Гиншу, между ними более 15 км; после Белена план уводит в Парк Наций и обратно к Праса-ду-Комерсиу — противоположные концы города. Adega da Praia не подтверждается.</t>
  </si>
  <si>
    <t>### **3-дневный маршрут по Берлину для любителя истории, современного искусства и недорогих кафе**
Представленный маршрут спланирован с учётом ваших интересов: история, современное искусство и доступные кафе. Учтены актуальные данные на 2026 год, включая закрытие части Пегамонского музея (восстановление завершится в 2027 году).
---
## **День 1: История и архитектура Митте**
**Утро: Музейный остров (Museumsinsel) – альтернативный маршрут**
- **Важно**: Пегамонский музей (Pergamonmuseum) **временно закрыт** до 4 июня 2027 года. Вместо него посетите:
  - **Новый музей (Neues Museum)** – с древнеегипетскими сокровищами, включая знаменитую Нюфертити.
  - **Музей Боде (Bode Museum)** – коллекции скульптуры, средневекового искусства и религиозных объектов.
  - **Старая национальная галерея (Alte Nationalgalerie)** – классическое искусство XIX века.
&gt; 📌 **Совет**: Купите **Музейный пропуск Берлина (Museum Pass Berlin)** за 32 € на 3 дня — он даёт доступ ко всем музеям на Музейном острове и другим учреждениям.
**Обед**:  
- **ME Café at me collectors room** (Mitte, Friedrichstraße 155)  
  - Уютное кафе в пространстве частной коллекции современного искусства.  
  - Вкусные блюда от 5 €, торты от 2 €.  
  - Внутри — выставки современных художников (например, Gerhard Richter, Marlene Dumas).  
  - Идеально для перекуса после музеев.
**Вечер: Крепость и история разделённого города**
- Прогулка по **Кройцбергу (Kreuzberg)** и **Обербаумской башне (Oberbaumbrücke)** — символ соединения Восточного и Западного Берлина.
- Посетите **Восточную сторону галереи (East Side Gallery)** — 1,3 км сохранившейся части Берлинской стены с муралами от художников мира.
---
## **День 2: Современное искусство и креативные кварталы**
**Утро: Современное искусство в Западном Берлине**
- **Культурфорум (Kulturforum)** – современные здания и галереи:
  - **Новая национальная галерея (Neue Nationalgalerie)** – архитектура Майера-Грота, коллекции 20 века.
  - **Галерея Берлина (Berlinische Galerie)** – современное искусство, графика, фотография Берлина.
**Обед**:  
- **KULT Café** (RAW-Gelände, Friedrichshain)  
  - Креативное кафе в бывшем железнодорожном дворе.  
  - Кофе от местного ростера CoffeeCasa, булочки, десерты.  
  - **Ключевое преимущество**: регулярные выставки местных художников — живое современное искусство в атмосфере индустриального пространства.  
  - Цены: 16 € за 2 часа (включая рабочее место), но можно просто посидеть за кофе.
**После обеда: Креативный район Фридрихшайн**
- Посетите **RAW-Gelände** — бывший железнодорожный узел, превращённый в культурный центр с уличным искусством, барами и арт-пространствами.
- Прогулка по **Holzmarkt** — речной квартал с арт-галереями, барами и живыми выставками.
---
## **День 3: Культура, природа и аутентичные кафе**
**Утро: Западный Берлин и архитектура**
- **Шарлоттенбург (Charlottenburg)** – дворец Шарлоттенбург и его сады.
  - История как столицы Западного Берлина в эпоху Холодной войны.
  - Прогулка по **Кантstraße** — улица с независимыми книжными магазинами и аутентичными кафе.
**Обед**:  
- **Markthalle Neun** (Friedrichshain)  
  - Рынок с местными производителями, фермерами и кулинарными лавками.  
  - Недорогие блюда: от 3 € (например, блюда из вегетарианских ингредиентов, булочки, смузи).  
  - Атмосфера — живая, местная, без туристических цен.
**Вечер: Природа и закат**
- Прогулка по **Трептовскому парку (Treptower Park)** — большой зелёный остров с советским мемориалом и видом на реку.
- Последний взгляд на город с **Oberbaumbrücke** — идеальное место для заката.
---
## **Бюджет (на человека, 3 дня)**
| Категория | Стоимость (€) |
|----------|---------------|
| Музейный пропуск (3 дня) | 32 |
| Проживание (эконом-гостиница/хостел) | 100–150 |
| Питание (3 дня, включая кафе) | 60–80 |
| Транспорт (ежедневный транспортный пропуск) | 20 |
| **Итого** | **212–282 €** |
&gt; ✅ **Совет**: Используйте **Berlin WelcomeCard** или **Berlin City Tourist Card** для экономии на транспорте и скидках в музеях.
---
## **Итог**
Этот маршрут сочетает:
- **Историю** — от античности до Холодной войны.
- **Современное искусство** — от галерей до уличных муралов.
- **Недорогие кафе** — с атмосферой, искусством и местным колоритом.
Берлин — город, где прошлое и будущее живут рядом. Этот маршрут поможет почувствовать его душу.</t>
  </si>
  <si>
    <t>Все три интереса закрыты, закрытие Пергамона до 2027 года и Museum Pass Berlin за €32 указаны верно, бюджетная таблица уместна. Критично: Новая национальная галерея приписана «Майеру-Гроту» вместо Миса ван дер Роэ; Berlinische Galerie отнесена к Культурфоруму (она в Кройцберге); Markthalle Neun назван Фридрихсхайном (Кройцберг); адрес me collectors room указан как Friedrichstraße 155 вместо Auguststraße. Мост Обербаумбрюкке назван «башней» и повторяется в днях 1 и 3. День 3 бросает от Шарлоттенбурга через Кройцберг в Трептов — через весь город.</t>
  </si>
  <si>
    <t>### **3-Day Cultural &amp; Culinary Trip to Tbilisi, Georgia**  
*Immerse in Georgian heritage, savor authentic cuisine, and enjoy a gentle nature escape—all within a relaxed, walkable itinerary.*
---
### **Day 1: Old Tbilisi &amp; the Heart of the City**  
**Theme:** History, Architecture &amp; Local Life  
- **Morning:**  
  - Start at **Metekhi Church**, perched on a cliff overlooking the Mtkvari River. Enjoy panoramic views and a quiet moment amid ancient stone walls.  
  - Walk across the **Bridge of Peace** to the **Old Tbilisi** district. Wander through cobbled streets lined with colorful wooden balconies and hidden courtyards.  
- **Midday:**  
  - Visit **Narikala Fortress**, accessible via the **cable car** (short ride, stunning views). Explore the ancient walls and enjoy sweeping vistas of the city basin.  
  - Stroll through **Dry Bridge Market**—a vibrant, authentic flea market with Soviet memorabilia, handmade crafts, and local snacks.  
- **Evening:**  
  - Dine at **Georgian House** (2 Giorgi Tsabadze St):  
    - Try **khinkali** (juicy dumplings), **khachapuri** (cheese-filled bread), and **chakapuli** (lamb stew).  
    - Pair your meal with a glass of **Georgian wine** (try a local red like Saperavi).  
    - Live music and warm ambiance enhance the cultural experience.  
---
### **Day 2: Culture, Wine &amp; Urban Charm**  
**Theme:** Gastronomy, Art &amp; Local Flavors  
- **Morning:**  
  - Explore **Rustaveli Avenue**, Tbilisi’s grand boulevard. Admire the ornate **Opera and Ballet Theatre** and the **former Parliament building**.  
  - Visit **Dezerter Bazaar**—a lively, working market with fresh produce, cheeses (like suluguni), churchkhela (nut candy), and homemade pickles.  
- **Afternoon:**  
  - Head to **Bina N37** (or **Sakhli #11**) for a modern twist on Georgian cuisine:  
    - Try **pkhali** (vegetable dips), **lobiani** (bean stew), and **mchadi** (cornbread).  
    - Enjoy a curated wine tasting—Georgian wines are world-renowned for their unique qvevri fermentation.  
- **Evening:**  
  - Attend a **Georgian polyphonic singing performance** at a local venue (e.g., **Poliphonia** or **Tbilisi Wine House**).  
  - End the night with a drink at a rooftop bar with city views—perfect for reflecting on the day’s discoveries.  
---
### **Day 3: Nature Escape to Borjomi (Easy Day Trip)**  
**Theme:** Serenity, Forests &amp; Mineral Springs  
- **Morning:**  
  - Take a **marshrutka (minibus)** from **Didube Station** to **Borjomi** (2–2.5 hours, ~10–15 GEL).  
  - Arrive early to enjoy the peaceful **Borjomi Central Park**, a restored imperial garden with walking paths, fountains, and shaded benches.  
- **Midday:**  
  - Visit the **Romanov Palace** (a historic summer residence of the Russian imperial family).  
  - Sample **natural mineral water** from the springs—free and refreshing.  
  - Ride the **cable car** for a scenic view of the surrounding valley.  
- **Afternoon:**  
  - Take a short, easy forest walk through the **Borjomi-Kharagauli National Park** (a 1–2 hour loop).  
  - Stop at a local café for a traditional Georgian pastry like **pelamushi** (sweet honey pastry).  
- **Evening:**  
  - Return to Tbilisi by late afternoon.  
  - Relax with a **sulfur bath** in **Abanotubani** (the historic bath district)—a perfect way to unwind after your trip.  
---
### **Travel Tips**  
- **Best Time to Visit:** Spring (April–June) or early autumn (September–October) for mild weather and fewer crowds.  
- **Transport:** Tbilisi is walkable. Use marshrutkas (minibuses) for day trips—cheap and efficient.  
- **Currency:** Georgian Lari (GEL). ATMs widely available.  
- **Language:** Georgian is official, but English is spoken in tourist areas.  
This itinerary balances culture, cuisine, and nature—offering a rich, authentic taste of Georgia in just three days.</t>
  </si>
  <si>
    <t>Культура и еда раскрыты сильно и достоверно: Метехи, Мост Мира, Нарикала, Сухой мост, Дезертирский базар, Bina N37 и Sakhli #11 — реальные. Ошибки в описаниях блюд: лобиани назван «бобовым рагу» (это лепёшка с фасолью), пеламуши — «медовой выпечкой» (это желе из виноградного сока). «Дворец Романовых» находится не в Боржомском парке, а в Ликани. Экскурсия заявлена как «лёгкая», но Боржоми — 4–5 часов дороги туда-обратно; ближе по смыслу были бы Черепашье озеро или Мцхета. Канатка в Тбилиси идёт из парка Рике, а не со стороны Старого города.</t>
  </si>
  <si>
    <t>### **4-Day Travel Plan for Yerevan, Armenia: History, Cuisine &amp; Day Trip**
This curated 4-day itinerary blends Yerevan’s rich history, authentic Armenian cuisine, and a memorable day trip outside the city. Designed for travelers seeking cultural depth and culinary delight, the plan includes UNESCO sites, traditional meals, and scenic excursions.
---
### **Day 1: Arrival &amp; Yerevan City Highlights**
**Theme:** Discover the heart of Yerevan  
**Highlights:** Republic Square, Cascade Complex, Matenadaran, Vernissage Market
- **Morning:** Arrive at Zvartnots International Airport (EVN). Transfer to your hotel (recommended: central area near Republic Square).
- **Afternoon:**  
  - Walk through **Republic Square**, the city’s vibrant center, with its iconic statue of Mother Armenia.  
  - Climb the **Cascade Complex** — a monumental stairway and cultural complex offering panoramic views of Yerevan and Mount Ararat.
- **Evening:**  
  - Visit the **Matenadaran** (Mesrop Mashtots Institute of Ancient Manuscripts), home to 14,000 illuminated manuscripts spanning 1,600 years of Armenian literary history.  
  - Stroll through the **Vernissage Market** — a bustling open-air bazaar with crafts, antiques, and local souvenirs.
**Dinner Suggestion:**  
- **Lavash Restaurant (Tumanyan Street)** – A mid-range gem serving traditional Armenian dishes like khorovats (grilled meat), dolma, and fresh lavash baked in a tonir (clay oven).  
- Or, for a more casual option: **GUM Market basement** – Try dolma, grilled meats, and fresh cheese by the plate (2,000–3,500 AMD / ~5–8 €).
---
### **Day 2: Day Trip – Garni &amp; Geghard (Ancient Temples &amp; Monasteries)**
**Theme:** 2,500 years of Armenian history in one day  
**Highlights:** Garni Temple, Symphony of Stones, Geghard Monastery
- **Morning (Depart Yerevan at 09:00):**  
  - Take a **shared taxi or guided tour** (recommended: ~$20–25 round trip) to **Garni Temple** — the only surviving Hellenistic-era pagan temple in the former USSR.  
  - Explore the **Symphony of Stones** — dramatic basalt columns formed by volcanic activity in the Azat River gorge.
- **Midday:**  
  - Drive to **Geghard Monastery**, a UNESCO World Heritage Site carved into a cliff face. The cave monastery dates back to the 13th century and features stunning rock-cut chapels and intricate carvings.
- **Afternoon:**  
  - Return to Yerevan via a scenic route. Optional stop: **lavash baking session in a village home** (arranged through tour operators).
**Dinner Suggestion:**  
- **Sayat-Nova Restaurant** – Named after the 18th-century poet, this institution offers grilled meats, manti (dumplings), and local wines. Live folk music on weekends adds to the atmosphere.
---
### **Day 3: Day Trip – Etchmiadzin &amp; Khor Virap (Spiritual &amp; Historical Heart)**
**Theme:** Armenia’s religious roots and Mount Ararat views  
**Highlights:** Etchmiadzin Cathedral, Zvartnots Cathedral, Khor Virap Monastery
- **Morning (Depart Yerevan at 08:30):**  
  - Visit **Etchmiadzin Cathedral** — the oldest cathedral in the world (built in 303 AD), the spiritual center of the Armenian Apostolic Church. A UNESCO site with stunning frescoes and ancient relics.
  - Continue to **Zvartnots Cathedral** (ruins), a 7th-century masterpiece with a unique circular design.
- **Midday:**  
  - Head to **Khor Virap Monastery**, located at the foot of Mount Ararat. This site is historically significant — it’s where Gregory the Illuminator was imprisoned for 13 years before converting Armenia to Christianity in 301 AD.
  - Enjoy breathtaking views of Mount Ararat, especially at sunrise (recommended to arrive early).
- **Afternoon:**  
  - Optional: Visit a **local brandy distillery** for a tasting session (Yerevan Brandy Company or Ararat brandy house).
**Dinner Suggestion:**  
- **Dolmama (Pushkin Street)** – A pioneer of modern Armenian fine dining. Try their elevated khorovats or manti with a pomegranate reduction. Excellent Armenian wine list.
---
### **Day 4: Yerevan Deep Dive &amp; Departure**
**Theme:** Cultural immersion and farewell  
**Highlights:** Erebuni Museum, local markets, final meal
- **Morning:**  
  - Visit the **Erebuni Museum &amp; Archaeological Site** — the ancient fortress founded in 782 BC, the historical origin of Yerevan. Explore the museum’s collection of Urartian artifacts.
  - Walk through the **Kond Quarter** — a historic neighborhood with colorful houses, hidden courtyards, and local cafes.
- **Midday:**  
  - Explore **GUM Market (Tumanyan Street)** again for last-minute souvenirs or a quick bite. Try **churchkhela** (nut candy), **gata** (sweet pastry), or fresh cheese.
- **Afternoon:**  
  - Final shopping or relaxation at a **wine bar on Saryan Street** — sample Armenian wines by the glass.
  - Transfer to Zvartnots Airport for departure.
---
### **Travel Tips**
- **Best Time to Visit:** April–June or September–October for mild weather and clear views of Mount Ararat.
- **Transport:**  
  - No need for a rental car — shared taxis and guided tours are affordable and reliable.  
  - Use **GG Taxi** or **Marshrutka** (minibuses) for budget options.
- **Budget Estimate (mid-range):**  
  - 660–1,000 EUR for 4 days (excluding flights).
- **Must-Try Dishes:**  
  - **Khorovats** (grilled meat)  
  - **Dolma** (stuffed grape leaves)  
  - **Manti** (steamed dumplings)  
  - **Lavash** (traditional flatbread)  
  - **Gata** (sweet pastry)  
  - **Churchkhela** (nut candy)
---
This 4-day journey offers a balanced mix of history, culture, nature, and cuisine — a true immersion into the soul of Armenia.</t>
  </si>
  <si>
    <t>Ignored constraints; Wrong location within city; Bad route logic</t>
  </si>
  <si>
    <t>История и кухня раскрыты сильно и достоверно: Гарни как единственный сохранившийся эллинистический храм, Эчмиадзин 303 года, 13 лет заточения Григория Просветителя, Хор Вирап, Эребуни 782 г. до н.э., Dolmama на Пушкина — всё верно. Просили одну загородную поездку — запланированы две (Гарни/Гегард и Эчмиадзин/Хор Вирап). Статуя Мать-Армения отнесена к площади Республики (она в парке Победы). Матенадаран поставлен на вечер, хотя он закрывается в 17:00, а Вернисаж вечером уже не работает; про Хор Вирап советуют «приезжать на рассвете», при этом визит назначен на середину дня.</t>
  </si>
  <si>
    <t>### **3-Day Itinerary for Almaty: City Sights, Mountain Views &amp; Authentic Kazakh Cuisine**
Almaty, Kazakhstan’s largest city, blends urban charm with breathtaking mountain scenery. This 3-day itinerary balances cultural landmarks, panoramic mountain views, and a deep dive into traditional Kazakh cuisine.
---
### **Day 1: City Highlights &amp; Cultural Immersion**
**Morning: Explore the Heart of Almaty**
- **Panfilov Park &amp; Eternal Flame**: Begin your day at this central park, home to the iconic Eternal Flame monument and the historic **Zenkov Cathedral**—a stunning wooden Orthodox church with intricate carvings and colorful domes.
- **Ascension Cathedral**: Visit this peaceful, white-domed cathedral with panoramic views of the city and mountains.
**Lunch: Traditional Kazakh Fare**
- Head to **Dostyk Avenue**, a pedestrian-friendly street with numerous restaurants.
- Try **beshbarmak** (a national dish of boiled meat with noodles), **manti** (steamed dumplings), or **lagman** (Central Asian noodle soup).
**Afternoon: Green Bazaar (Aksay Market)**
- Immerse yourself in the vibrant atmosphere of the **Green Bazaar**, where you can:
  - Smell pungent spices, fresh herbs, and fermented **kumys** (horse milk).
  - Sample local cheeses, dried fruits, and **kurt** (salty dried cheese balls).
  - Buy souvenirs like handwoven carpets and traditional crafts.
**Evening: First President’s Park**
- Wind down with a peaceful stroll through this lush, green park in the city center—perfect for reflection and enjoying the evening air.
---
### **Day 2: Mountain Adventure – Medeu &amp; Shymbulak**
**Morning: Medeu Ice Rink &amp; Scenic Drive**
- Take a taxi to **Medeu Valley**, home to the world’s highest alpine ice rink (2,000 m above sea level).
- Enjoy the crisp mountain air and stunning views of the **Tian Shan** range.
- **Note**: The Medeu–Tuyuk-Su road is partially closed from **July 24 to November 30, 2026**, due to infrastructure upgrades. Private vehicles are restricted, but access remains open via:
  - **Student Trail** (5.7 km hike from the Medeu dam to Gorelnik Visitor Center).
  - Public buses (No. 12 and No. 21) to the final stop near the dam.
**Midday: Shymbulak Ski Resort (Summer Access)**
- **Cable car operation**: From **July 25 to August 31, 2026**, the Medeu–Shymbulak cable car runs daily from **9 a.m. to 7 p.m.**
- Ride the gondola up to **Shymbulak**, where you’ll enjoy:
  - Breathtaking views of the **Alma-Arasan Valley**.
  - Observation decks and summer hiking trails.
  - A chance to try **shashlik** (grilled meat skewers) or a local café meal.
**Evening: Dinner at AUYL Restaurant**
- Dine at **AUYL**, a mountain restaurant in Medeu known for its **modern Kazakh fusion cuisine**.
  - Must-try dishes:
    - **Horse bone marrow** (a unique local delicacy).
    - **Baursak** (traditional fried bread with tangy kaymak).
    - **Lagman** (spicy stir-fried noodles).
  - Enjoy panoramic mountain views with your meal.
---
### **Day 3: Nature &amp; Final Reflections**
**Morning: Esentai River Walk or Park Stroll**
- Take a relaxing walk along the **Esentai River**, a scenic green corridor through the city.
- Alternatively, visit **Abai Park** or **Kok Tobe Hill** for a final panoramic view of Almaty.
**Lunch: Modern Kazakh Dining**
- Visit **Qaimaq**, a contemporary Kazakh restaurant on **Abai Avenue (46a)**, known for its refined take on traditional dishes.
  - Offers a sophisticated dining experience with a focus on local ingredients and hospitality.
  - Check their website ([qaimaq.asia](http://qaimaq.asia)) or call **+7 701 135 12 20** for opening hours.
**Afternoon: Departure or Last-Minute Shopping**
- Pick up souvenirs at the Green Bazaar or a local boutique.
- Consider a final visit to **Kok Tobe Hill** for a sunset view of the city and mountains.
---
### **Travel Tips**
- **Best Time to Visit**: May to September (summer through early fall).
- **Getting Around**: Use **Yandex Taxi** or **Uber** for convenience. Public transit is reliable but less flexible.
- **Weather in Summer**: Daytime highs of **24–26°C (75–79°F)**, cool evenings. Pack layers.
- **Accessibility**: The Medeu–Shymbulak road is restricted, but the cable car and hiking trail remain open.
---
Enjoy your journey through Almaty—where city life meets mountain grandeur and Kazakh culture comes alive with every bite.</t>
  </si>
  <si>
    <t>Три интереса закрыты, Медеу, Шымбулак, Зелёный базар, AUYL — реальные. Критично: Вознесенский собор и «Zenkov Cathedral» перечислены как два разных объекта, хотя это одно здание; Зелёный базар назван «Aksay Market»; высота Медеу указана 2000 м вместо ~1690; со смотровой Шымбулака обещан вид на Алма-Арасанское ущелье — это другое ущелье; Парк Первого Президента назван «в центре города», фактически на юго-западной окраине. Даты закрытия дороги (24 июля – 30 ноября 2026) и расписание канатки даны как точные факты без подтверждения. Кок-Тобе фигурирует в дне 3 дважды.</t>
  </si>
  <si>
    <t>web_search(ok); web_search(ok); web_search(ok); web_search(ok); web_search(ok) | model_calls=6 tool_calls=5 grounded=true</t>
  </si>
  <si>
    <t>### **3-Day Trip Itinerary to Baku: Architecture, Museums &amp; Caspian Waterfront**
Baku, the capital of Azerbaijan, blends ancient history with futuristic design, set against the dramatic backdrop of the Caspian Sea. This curated 3-day itinerary highlights the city’s architectural marvels, world-class museums, and scenic waterfront promenade.
---
### **Day 1: The Old City &amp; Cultural Heart**
**Morning: Icherisheher (Old City) &amp; Maiden Tower**  
- Begin your journey in **Icherisheher**, a UNESCO World Heritage Site, where medieval sandstone walls enclose centuries of history.  
- Visit the **Maiden Tower**, a 12th-century landmark with spiral staircases and panoramic views of Baku. Climb to the top for a breathtaking vista of the city and the Caspian Sea.  
- Explore the **Palace of the Shirvanshahs**, a 15th-century complex with intricate tilework and serene courtyards.  
**Afternoon: Carpet Museum &amp; Waterfront Stroll**  
- Head to the **Azerbaijan Carpet Museum**, shaped like a giant rolled carpet. The building itself is a masterpiece of modern architecture.  
  - *Highlights:* Ancient handwoven rugs, Soviet-era tapestries, and live demonstrations of traditional weaving techniques.  
  - *Tip:* Visit early (before 11 AM) to avoid crowds.  
- Walk along **Baku Boulevard**, the 4-kilometer Caspian promenade. Enjoy the sea breeze, street food (try roasted chestnuts and grilled corn), and views of the city skyline.  
**Evening: Sunset &amp; Local Dining**  
- Watch the sunset from the waterfront.  
- Dine at a traditional Azerbaijani restaurant, sampling dishes like *plov* (rice with lamb), *dolma*, and *kebab*, paired with local wine or *arak*.
---
### **Day 2: Modern Masterpieces &amp; Urban Exploration**
**Morning: Heydar Aliyev Center**  
- Visit the **Heydar Aliyev Center**, designed by Zaha Hadid. This futuristic architectural wonder features flowing white curves and a seamless interior.  
  - *Highlights:* Floating glass cases, interactive exhibits on Azerbaijani culture, and a rooftop terrace with sweeping views of Baku.  
  - *Tip:* Arrive at opening time to avoid tour groups and enjoy the space in peace.  
**Afternoon: Baku Boulevard &amp; Funicular Ride**  
- Continue your walk along **Baku Boulevard**, stretching from the Carpet Museum to the Venice-style canals.  
- Take the **funicular** (glass stations available) for a scenic ride along the waterfront.  
- Stop at the **Baku Ferris Wheel** for a bird’s-eye view of the city and oil platforms in the Caspian Sea.  
**Evening: Cultural Evening &amp; Nightlife**  
- Explore the **Muğam Center** or enjoy a performance at the **Philharmonic Hall**.  
- End the night at a rooftop bar with views of the illuminated skyline.
---
### **Day 3: Nature, History &amp; Final Impressions**
**Morning: Day Trip to Mud Volcanoes &amp; Fire Temple**  
- Take a half-day excursion outside Baku to the **mud volcanoes** and **Yanar Dag (Burning Mountain)**.  
  - *Why go:* Experience Azerbaijan’s nickname, “Land of Fire,” with natural flames and bubbling mud geysers.  
**Afternoon: Return &amp; Leisurely Exploration**  
- Return to the city and spend your final hours at your own pace:  
  - Visit a local tea house for a traditional *armudu* (pear-shaped) tea glass.  
  - Shop for souvenirs at the **Carpet Bazaar** or browse art galleries.  
**Evening: Farewell Dinner**  
- Conclude your trip with a farewell meal at a high-end restaurant overlooking the Caspian Sea.
---
### **Travel Tips**
- **Best Time to Visit:** April–May or late September for pleasant weather and fewer crowds.  
- **Transport:** Use the metro (Icherisheher station), city bikes (requires local number), or taxis.  
- **Dress Code:** Modest clothing is recommended for religious sites.  
- **Language:** Azerbaijani is official; Russian and English are widely spoken.  
This itinerary offers a perfect balance of history, culture, and modernity—showcasing Baku’s unique identity at the crossroads of East and West.</t>
  </si>
  <si>
    <t>Bad route logic; Unsupported factual claim</t>
  </si>
  <si>
    <t>Архитектура и набережная раскрыты хорошо: Ичери-Шехер, Девичья башня, дворец Ширваншахов, Музей ковра в форме свёрнутого ковра, Центр Гейдара Алиева (Заха Хадид) — всё верно и сгруппировано логично. Ошибки: фуникулёр описан как поездка «вдоль набережной», хотя он поднимает в Нагорный парк; грязевые вулканы (Гобустан, юг) и Янардаг (север) объединены в одну «полудневную» поездку — это противоположные направления; ара́к предложен как местный напиток; «Carpet Bazaar» не идентифицируется. Музеев по факту два на три дня, третий день без архитектуры и музеев.</t>
  </si>
  <si>
    <t>### 🌿 **3-дневный туристический план по Казани с акцентом на татарскую кухню и прогулки у воды**
Казань — город, где древняя татарская культура встречается с современной архитектурой, а реки и озёра создают живописные пейзажи. Ниже — детальный план на 3 дня, сочетающий прогулки у воды, знакомство с татарской кухней и посещение главных достопримечательностей.
---
## 🗓 **День 1: Кремль, набережная и старинная архитектура**
### 📍 **Утро: Казанский Кремль**
- Начните день с посещения **Казанского Кремля** — символа города и главной исторической достопримечательности.
- Обязательно посетите:
  - **Мечеть Кул-Шариф** — величественный мусульманский храм с современной архитектурой.
  - **Кремлёвская церковь** — религиозный памятник, сочетающий русскую и татарскую традиции.
  - **Музей истории Татарстана** — для понимания культурного наследия региона.
### 🌅 **День: Кремлёвская набережная**
- Прогуляйтесь вдоль **Кремлёвской набережной** — красивое пространство вдоль реки Казанки.
- Весной и летом здесь:
  - Прокат велосипедов и самокатов.
  - Открытые кафе и фонтаны с вечерней подсветкой.
  - Концерты и фестивали (в зависимости от сезона).
- Вечером — ужин в одном из ресторанов на набережной.
### 🍽 **Ужин: Ресторан «Tatar by Tubetey»**
- **Адрес**: Кремлёвская набережная, рядом с Кремлем.
- **Что попробовать**: эчпочмак, манты, токмач, чак-чак, медовик.
- **Атмосфера**: уютная, с элементами татарской культуры, живая музыка.
- **Средний чек**: ~1500 руб.
---
## 🗓 **День 2: Старо-Татарская слобода и озеро Кабан**
### 🌿 **Утро: Старо-Татарская слобода**
- Прогуляйтесь по узким улочкам старинного района, где сохранилась татарская архитектура.
- Посетите:
  - **Музей чак-чака** — уникальный музей, посвящённый татарскому сладкому лакомству.
  - **Деревня «Туган Авылым»** — этнографический комплекс с традиционными домами.
  - **Храм всех религий** — символ единства культур и верований.
### 🌊 **День: Озеро Кабан**
- Прогулка вдоль **озера Кабан** — одно из самых живописных мест Казани.
- На берегу:
  - Экотропа и велодорожки.
  - Плавучие пирсы и зоны отдыха.
  - Возможность аренды лодок или катамаранов.
- Легенда: здесь, по преданию, спрятаны сокровища Казанского ханства.
### 🍽 **Ужин: Ресторан «Татарская Усадьба»**
- **Адрес**: ул. Шигабутдина Марджани, 8.
- **Что попробовать**: кыстыбый, губадия, вяленая колбаса казылык, чак-чак.
- **Особенности**: блюда готовятся в дровяной печи, атмосфера — как в татарской деревне.
- **Средний чек**: ~1200 руб.
---
## 🗓 **День 3: Современная Казань и культурные локации**
### 🌆 **Утро: Улица Баумана и Центр семьи «Казан»**
- Прогуляйтесь по **улице Баумана** — главной торговой и культурной улице города.
- Посетите:
  - **Центр семьи «Казан»** — современное пространство с выставками, театрами и кафе.
  - **Музей естественной истории Татарстана** — интересно для всей семьи.
### 🏞 **День: Аквапарк или выезд за город**
- **Вариант 1**: Аквапарк «Казань-Аквапарк» — идеально для отдыха в жаркий день.
- **Вариант 2**: Выезд в **Свияжск** (остров-град) — исторический центр, похожий на средневековую крепость. Путешествие на пароме.
### 🍽 **Финальный ужин: Гастротеатр «Ка»**
- **Адрес**: ул. Рашида Нежметдинова, 1а.
- **Что попробовать**: современные интерпретации татарских блюд, включая манты с грибами, кыстыбый с фруктами.
- **Атмосфера**: стильное пространство с живой музыкой и панорамным видом.
- **Средний чек**: ~1800 руб.
---
## 📌 **Практические советы**
- **Транспорт**: Казань удобна для пеших прогулок. Используйте метро, автобусы или такси.
- **Лучшее время для поездки**: весна (апрель–май) и осень (сентябрь–октябрь) — мягкая погода, красивые пейзажи.
- **Что взять с собой**: удобная обувь, фотоаппарат, воду, лёгкую куртку.
- **Сувениры**: чак-чак, татарские сладости, керамика с национальными узорами.
---
✨ **Заключение**  
Этот план сочетает историю, природу и гастрономию — всё, что делает Казань особенной. Прогулки у воды, татарская кухня и атмосфера старинного города создадут незабываемые впечатления.</t>
  </si>
  <si>
    <t>Wrong location within city; Bad route logic; Unsupported factual claim</t>
  </si>
  <si>
    <t>Оба заявленных интереса закрыты: Кул-Шариф, Кремлёвская набережная, Старо-Татарская слобода, озеро Кабан, Свияжск паромом, Музей чак-чака, «Татарская усадьба» на Марджани — реальные и уместные. Ошибки географии: Храм всех религий отнесён к слободе (он в Старом Аракчино, ~20 км), «Туган Авылым» тоже вне слободы, Центр семьи «Казан» указан рядом с улицей Баумана, фактически на другом берегу Казанки. «Кремлёвская церковь» — размытое название вместо Благовещенского собора; Музей естественной истории находится в Кремле, то есть день 3 возвращает в точку дня 1. Гастротеатр «Ка» и средние чеки не подтверждаются.</t>
  </si>
  <si>
    <t>web_search(ok); web_search(ok); web_search(ok); web_search(ok); web_search(ok); web_search(ok) | model_calls=6 tool_calls=6 grounded=true</t>
  </si>
  <si>
    <t>No answer</t>
  </si>
  <si>
    <t>Here’s a curated plan for a memorable day in Paris tomorrow, August 1, 2026, based on current events and top attractions:
---
### 🌟 **Paris Itinerary for Tomorrow – August 1, 2026**
#### 🕘 **Morning: Art &amp; Immersion at Atelier des Lumières**
- **Time:** 10:00 AM – 12:30 PM  
- **Location:** Atelier des Lumières, 75011 Paris  
- **Experience:** Immerse yourself in a breathtaking digital art exhibition. Choose between:
  - *Van Gogh: The Immersive Experience* – Explore the vibrant world of the post-impressionist master through 360° projections and cinematic soundscapes.
  - *Le Petit Prince: The Immersive Journey* – A poetic, dreamlike journey through the beloved story, blending animation, music, and light.
- **Why go?** Perfect for art lovers and families; a unique way to experience classic works in a modern, sensory-rich format.
---
#### 🍽️ **Lunch: Charming Café in Le Marais**
- **Time:** 1:00 PM – 2:30 PM  
- **Suggestion:** *Le Comptoir du Relais* (33 Rue de Seine, 75006)  
- **Why?** A classic Parisian bistro with a cozy atmosphere, excellent French cuisine, and a great wine list. Try the duck confit or seasonal vegetable tart.
- **Bonus:** Located in the heart of Saint-Germain-des-Prés, ideal for a relaxed stroll afterward.
---
#### 🕶️ **Afternoon: NBA Summer House at Palais Brongniart**
- **Time:** 3:00 PM – 6:00 PM  
- **Location:** Palais Brongniart, 16 Place de la Bourse, 75002 Paris  
- **Event:** *NBA Summer House – Paris 2026*  
- **Highlights:**
  - Interactive basketball challenges and mini-games.
  - View the iconic Larry O’Brien Trophy.
  - Exclusive NBA merchandise and photo ops.
  - Free admission (tickets required – book in advance via [Unidivers.fr](https://unidivers.fr)).
- **Perfect for:** Sports fans, families, and anyone looking for a fun, energetic experience.
---
#### 🌆 **Evening: Sunset at the Eiffel Tower &amp; Dinner in Trocadéro**
- **Time:** 7:00 PM – 9:30 PM  
- **Location:** Champ de Mars &amp; Trocadéro Gardens  
- **Experience:**
  - Walk through the Champ de Mars as the sun sets behind the Eiffel Tower.
  - Enjoy the nightly light show (starts at 8:00 PM, lasts 5 minutes).
  - Dine at *Le Jules Verne* (in the Eiffel Tower) or *Le Relais de l’Entrecôte* (Trocadéro) for a memorable dinner with a view.
- **Tip:** Book dinner reservations early—this is one of Paris’s most romantic spots.
---
#### 🌙 **Optional Nightcap: Jazz at The Dissident Club**
- **Time:** 10:00 PM (if you're still energized)  
- **Location:** 58 Rue Richer, 75009 Paris  
- **Event:** *Dissident Jazz Duos – Pablo &amp; Patricio*  
- **Details:** A free, intimate jazz performance blending Latin American melodies with improvisation. Ideal for a relaxed, sophisticated end to your day.
---
### 📌 **Tips for the Day:**
- **Weather:** Expect warm summer conditions—pack sunscreen, a hat, and light clothing.
- **Transport:** Use the Paris Métro (RER) or a bike-share (Vélib’) for easy access to all locations.
- **Tickets:** Reserve in advance for Atelier des Lumières and NBA Summer House to avoid queues.
---
Enjoy a perfect blend of culture, sport, romance, and Parisian charm! 🇫🇷✨</t>
  </si>
  <si>
    <t>Ignored constraints; Hallucinated place; Unsupported factual claim; Wrong location within city</t>
  </si>
  <si>
    <t>Here’s a well-structured one-day itinerary for Prague, designed to maximize your experience in a single day while covering the city’s most iconic sights and hidden gems:
---
### 🌟 **One-Day Itinerary in Prague: Must-See Highlights**
#### 🕘 **Morning: Old Town &amp; Historic Center**
- **Start at Old Town Square (Staroměstské náměstí)**  
  - Admire the **Astronomical Clock** (check the hourly show at noon).  
  - Explore the surrounding historic buildings, including the **Church of Our Lady before Týn** (Týnský chrám).  
  - Grab a coffee or pastry at a café like **Café Louvre** or **Café Sladké** for a classic Prague breakfast.
- **Walk across Charles Bridge (Karlův most)**  
  - Begin early to avoid crowds.  
  - Enjoy the statues of saints and the stunning views of the Vltava River and Prague Castle.  
  - Stop for photos at the bridge’s midpoint.
#### 🕘 **Midday: Prague Castle &amp; Hradčany District**
- **Head to Prague Castle (Pražský hrad)**  
  - Enter through the **Golden Lane** (a charming row of tiny houses).  
  - Visit **St. Vitus Cathedral** – a masterpiece of Gothic architecture.  
  - Explore the **Royal Garden** and **Old Royal Palace**.  
  - Take in panoramic views from the castle grounds.
#### 🕘 **Afternoon: Malá Strana &amp; Petřín Hill**
- **Stroll through Malá Strana (Lesser Town)**  
  - Walk along the quiet, cobbled streets with Baroque charm.  
  - Visit the **Petřín Hill Lookout Tower** (a smaller version of the Eiffel Tower).  
  - Climb the 299 steps or take the funicular for a scenic view over the city.  
  - Enjoy a relaxed lunch at a riverside café like **U Modré Kachničky**.
#### 🕘 **Late Afternoon: Optional Add-Ons**
- **Visit the Jewish Quarter (Josefov)**  
  - Explore the **Jewish Museum**, including the **Old-New Synagogue** (the oldest synagogue in Europe).  
  - Walk through the **Jewish Cemetery** – a hauntingly beautiful site.
- **Relax in a Park or Garden**  
  - **Letná Park** – Offers one of the best panoramic views of Prague, especially at sunset.  
  - **Vyšehrad Fortress** – A quieter alternative with a historic church and peaceful trails.
#### 🕘 **Evening: Sunset &amp; Dinner**
- **Sunset River Cruise on the Vltava**  
  - Book a 1-hour evening cruise for magical views of Prague Castle and the illuminated city.  
  - Many cruises include dinner or drinks (e.g., **Prague River Cruises** or **Vltava Cruises**).
- **Dinner in a Historic Pub or Rooftop Bar**  
  - Try **U Modré Kachničky** (traditional Czech food) or **Rooftop Bar at Hotel U Modré Kachničky** for a modern twist.  
  - For a unique experience, consider a **medieval-themed dinner show** at a pub like **U Modré Kachničky** or **U Zlatého Tygra**.
---
### 🎒 **Tips for Your Day**
- **Wear comfortable shoes** – Prague is best explored on foot.
- **Arrive early** at major attractions (especially Charles Bridge and Prague Castle) to avoid crowds.
- **Use public transport** – The metro and trams are efficient and affordable.
- **Download a Prague map app** (like Google Maps or Citymapper) for navigation.
---
This itinerary balances iconic landmarks, cultural depth, and local charm — perfect for making the most of your free day in Prague! 🇨🇿✨</t>
  </si>
  <si>
    <t>Ignored constraints; Hallucinated place; Unsupported factual claim</t>
  </si>
  <si>
    <t>Вместо уточняющих вопросов или явных допущений — плотный маршрут на весь день, причём перегруженный (Старый город + Град + Малая Страна + Йозефов + Летна + круиз). Критично: U Modré Kachničky предложен трижды, включая несуществующие «Rooftop Bar at Hotel U Modré Kachničky» и «средневековое шоу-ужин» там же; Café Sladké не идентифицируется. Вход в Пражский Град описан «через Золотую улочку» — она в дальнем конце комплекса. Верно: 299 ступеней Петршинской башни, Староновая синагога.</t>
  </si>
  <si>
    <t xml:space="preserve"> | model_calls=1 tool_calls=0 grounded=true</t>
  </si>
  <si>
    <t>Отлично! В Берлине есть множество интересных мест и активностей, которые помогут вам провести незабываемый день. Ниже — идеальный план на один день в Берлине, сочетающий культуру, историю, архитектуру и местную атмосферу.
---
### 🌞 Утро: Завтрак и прогулка по Музейному острову
- **Место**: Музейный остров (Museumsinsel) — UNESCO-объект мирового наследия.
- **Что посмотреть**: 
  - **Национальная галерея (Alte Nationalgalerie)** — классическое искусство XIX века.
  - **Музей Померанской галереи (Bode-Museum)** — античные скульптуры, средневековые произведения.
  - **Музей современного искусства (Neue Nationalgalerie)** — работы Кандинского, Малевича, Брейгеля.
- **Совет**: Завтрак в уютном кафе на берегу реки Шпрее, например, **Café am Neuen See** — идеально для начала дня.
---
### 🕘 День: История и архитектура — Берлинская стена и Потсдамская площадь
- **Место**: **Потсдамская площадь (Potsdamer Platz)** — центр современного Берлина.
- **Что посмотреть**:
  - **Галерея современного искусства (Kulturforum)** — рядом с музеями.
  - **Мемориал жертвам Холокоста (Memorial to the Murdered Jews of Europe)** — мощное, эмоциональное место.
  - **Берлинская стена (East Side Gallery)** — самая длинная сохранившаяся часть стены с живописными граффити.
- **Совет**: Прогуляйтесь по **Курфюрстенштрассе (Kurfürstendamm)** — шопинг и кофе в стиле 1920-х.
---
### 🌇 Вечер: Ужин и вечерняя атмосфера
- **Место**: **Кройцберг (Kreuzberg)** — самый арт- и креативный район Берлина.
- **Что посмотреть/сделать**:
  - Прогуляйтесь по улицам с уличным искусством, посетите **Markthalle Neun** — рынок с фуд-кортами и местной кухней.
  - Ужин в одном из баров с блюдами из разных культур: например, **Kreuzberg Biergarten** или **Lokal**.
- **Альтернатива**: Если хотите что-то более шумное — посетите **Berghain** (если у вас есть доступ, это один из самых известных ночных клубов мира).
---
### 🌃 Ночь: Вечерний вид на город
- **Место**: **Фернсайт (Fernsehturm)** — телебашня на Мюнхенской площади.
- **Что посмотреть**: 
  - Панорамный вид на Берлин с 200-метровой высоты.
  - Ресторан **360°** — идеальное место для ужина с видом на город.
---
### 📌 Советы:
- **Транспорт**: Купите **Berlin WelcomeCard** — она даёт скидки на транспорт и вход в музеи.
- **Язык**: Английский широко используется, но изучите пару фраз на немецком — местные оценят.
- **Погода**: Уточните погоду заранее — если будет дождь, замените улицы на **Музей современного искусства (Hamburger Bahnhof)** или **Музей истории Берлина**.
---
Хотите, чтобы я помог составить маршрут на карте, подобрать конкретные рестораны или уточнить, что интересно именно вам (например, музеи, архитектура, уличная еда, вечеринки)?</t>
  </si>
  <si>
    <t>Unsupported factual claim; Wrong location within city; Ignored constraints</t>
  </si>
  <si>
    <t>Плюс: в самом конце агент всё же спрашивает об интересах — частичное попадание в требование сценария, но только после готового плана и без обозначения допущений. Критично по фактам: Боде-музей назван «Музеем Померанской галереи»; Новая национальная галерея отнесена к Музейному острову (она в Культурфоруме) и ей приписан Брейгель; телебашня размещена «на Мюнхенской площади» вместо Александерплац; Курфюрстендамм назван «Курфюрстенштрассе»; Café am Neuen See указано у Шпрее, фактически в Тиргартене. Потсдамская площадь и Ист-Сайд-Галерея объединены в один блок, хотя они в разных концах.</t>
  </si>
  <si>
    <t>Here are some of the most interesting things to do in Tbilisi, Georgia, based on current recommendations:
---
### 🌿 **1. Explore Abanotubani (Sulfur Baths District)**
- **Why visit?** Tbilisi’s name comes from its ancient hot springs. The Abanotubani district is home to centuries-old sulfur baths, where you can relax in traditional bathhouses with mineral-rich waters.
- **Tip:** Try a traditional *banya* (sauna) experience with a local guide for an authentic cultural immersion.
---
### 🏰 **2. Climb Narikala Fortress**
- **Why visit?** Perched on a hill overlooking the city, this 4th-century fortress offers panoramic views of Tbilisi’s red rooftops, the Mtkvari River, and the surrounding mountains.
- **Bonus:** Combine your visit with a walk through **Mtatsminda Park**, which features a funicular railway and a large observation wheel.
---
### 🍷 **3. Wine Tasting in Kakheti (Day Trip)**
- **Why visit?** Georgia is considered the birthplace of winemaking. Take a private tour to the Alazani Valley to visit small family-run wineries and taste unique **qvevri wines**—fermented in clay amphorae buried underground.
- **Experience:** Enjoy a traditional Georgian meal with homemade wine, often accompanied by *supra* (ritual feast) toasts.
---
### 🛍️ **4. Wander the Dry Bridge Flea Market**
- **Why visit?** A vibrant, chaotic, and colorful market where you can find vintage clothes, handmade crafts, local art, and quirky souvenirs.
- **Atmosphere:** A favorite among locals and travelers alike, this is a great place to soak in Tbilisi’s street culture.
---
### 🎭 **5. Visit the Tbilisi Opera and Ballet Theatre**
- **Why visit?** A stunning example of Art Nouveau architecture, this historic theater hosts world-class performances. Even if you don’t catch a show, the building’s interior is worth admiring.
---
### 🏛️ **6. Discover the National Museum of Georgia**
- **Why visit?** Home to an impressive collection of ancient artifacts, including the famous **Gurjaani gold jewelry** and relics from the ancient Kingdom of Colchis.
- **Highlight:** The museum’s basement features a reconstructed ancient tomb and a section on the Silk Road.
---
### 🌉 **7. Walk Across the Bridge of Peace**
- **Why visit?** This modern, striking bridge connects the old and new parts of the city. At night, it’s illuminated with colorful lights and offers a peaceful view of the river and city skyline.
---
### 🍷 **8. Enjoy a Supra (Traditional Feast)**
- **Why visit?** A true Georgian cultural experience. Participate in a *supra*—a long, festive meal with multiple courses, endless toasts, and traditional music.
- **Where:** Many restaurants in the Old Town (Dzveli Tbilisi) offer authentic supra experiences.
---
### 🌆 **9. Stroll Through the Old Town (Dzveli Tbilisi)**
- **Why visit?** Cobblestone streets, colorful wooden balconies, hidden courtyards, and centuries-old churches like **Sioni Cathedral** and **Metekhi Church**.
- **Vibe:** A maze of charm, history, and local life—perfect for wandering and photography.
---
### 🎨 **10. Visit Fabrika Tbilisi**
- **Why visit?** A creative hub housed in a former industrial complex, featuring art galleries, design studios, cafes, and pop-up events.
- **Ideal for:** Art lovers, photographers, and those seeking a modern twist on Tbilisi’s cultural scene.
---
### 📌 **Pro Tips:**
- **Best time to visit:** September is ideal—pleasant weather, fewer crowds, and harvest season for wine.
- **Local etiquette:** Accepting a toast with a smile and a sip (even if you don’t drink alcohol) is appreciated.
- **Language:** While English is spoken in tourist areas, learning a few Georgian phrases (like “Gamarjoba” – hello) goes a long way.
---
Tbilisi is a city of contrasts—ancient and modern, wild and refined, spiritual and playful. Whether you're sipping wine in a cave, soaking in a bathhouse, or climbing a fortress at sunset, you’ll find something unforgettable here.</t>
  </si>
  <si>
    <t>Ignored constraints; Unsupported factual claim</t>
  </si>
  <si>
    <t>Формат подборки из 10 идей для расплывчатого «покажи что-нибудь интересное» уместнее жёсткого плана, но уточняющих вопросов и явных допущений всё равно нет. Места реальные: Абанотубани, Нарикала, Сухой мост, Фабрика, Мост Мира, поездка в Кахетию за квеври-вином. Ошибки: «Gurjaani gold jewelry» в Национальном музее — такого собрания нет, знаменитое золото из Вани и Колхиды; театр оперы и балета назван ар-нуво (мавританский стиль); Нарикала и Мтацминда поданы как соседние точки для одной прогулки — это разные холмы.</t>
  </si>
  <si>
    <t>To create a personalized travel plan for your stay in Almaty, I need a bit more information:
1. **How long will you be staying in Almaty?** (e.g., 3 days, 1 week, etc.)
2. **What are your main interests?** (e.g., sightseeing, outdoor activities, shopping, local cuisine, cultural events, relaxation)
3. **Do you have any specific places you’d like to visit or avoid?**
4. **Are you traveling solo, with family, or in a group?** (This helps with activity recommendations.)
5. **Do you prefer a relaxed pace or an action-packed itinerary?**
Once I have these details, I’ll craft a detailed and tailored plan for your time in Almaty.</t>
  </si>
  <si>
    <t>system_a</t>
  </si>
  <si>
    <t>answer_a</t>
  </si>
  <si>
    <t>system_b</t>
  </si>
  <si>
    <t>answer_b</t>
  </si>
  <si>
    <t>winner</t>
  </si>
  <si>
    <t>winner_system</t>
  </si>
  <si>
    <t>judge_reason</t>
  </si>
  <si>
    <t>GeoAgent — сводка по оценке качества</t>
  </si>
  <si>
    <t>Общие показатели</t>
  </si>
  <si>
    <t>Средние по критериям</t>
  </si>
  <si>
    <t>Всего запросов в датасете</t>
  </si>
  <si>
    <t>Intent Understanding</t>
  </si>
  <si>
    <t>Оценено ответов</t>
  </si>
  <si>
    <t>Relevance</t>
  </si>
  <si>
    <t>Средний overall score (0–5)</t>
  </si>
  <si>
    <t>Factuality</t>
  </si>
  <si>
    <t>Ответов с критической ошибкой</t>
  </si>
  <si>
    <t>Itinerary Feasibility (только маршрутные)</t>
  </si>
  <si>
    <t>Доля критических ошибок</t>
  </si>
  <si>
    <t>Format</t>
  </si>
  <si>
    <t>Отмечено «Нет» в critical_error</t>
  </si>
  <si>
    <t>Overall (взвешенный)</t>
  </si>
  <si>
    <t>Качество по категориям запросов (сценариям)</t>
  </si>
  <si>
    <t>Сценарий</t>
  </si>
  <si>
    <t>В датасете</t>
  </si>
  <si>
    <t>Оценено</t>
  </si>
  <si>
    <t>Overall</t>
  </si>
  <si>
    <t>Intent</t>
  </si>
  <si>
    <t>Feasibility</t>
  </si>
  <si>
    <t>Critical errors</t>
  </si>
  <si>
    <t>Critical rate</t>
  </si>
  <si>
    <t>ИТОГО</t>
  </si>
  <si>
    <t>Качество по языку запроса</t>
  </si>
  <si>
    <t>Язык</t>
  </si>
  <si>
    <t>Методика и оговорки</t>
  </si>
  <si>
    <t>• маршрутные сценарии (Маршрут на один день, Планирование поездки на несколько дней) — Intent 20% / Relevance 20% / Factuality 25% / Feasibility 25% / Format 10%;</t>
  </si>
  <si>
    <t>• При critical_error = «Да» overall ограничивается сверху значением 2.</t>
  </si>
  <si>
    <t>geoagent v1 ( qwen3-8b)</t>
  </si>
  <si>
    <t>Эталонная обработка неполного запроса: агент не стал ничего выдумывать и задал уточняющие вопросы о сроках, интересах, составе поездки и темпе, обозначив, что план будет составлен после ответов</t>
  </si>
  <si>
    <t>Ни одного уточняющего вопроса, ни одного явно обозначенного предположения — сразу уверенный почасовой план. Дата «завтра» подставлена как 1 августа 2026 (реально 30 июля). Критично: мероприятия «NBA Summer House – Paris 2026» в Дворце Броньяр и «Dissident Jazz Duos – Pablo &amp; Patricio» поданы с адресами и временем, но не подтверждаются. Le Comptoir du Relais (Rue de Seine, 6-й округ) назван кафе в Маре. Подсветка Эйфелевой башни описана как единичное шоу в 20:00.</t>
  </si>
  <si>
    <t>Пользователь просил список, агент выдал жёсткий маршрут по дням. Критично: утверждение «Travel Insurance: Mandatory since 2026» выдумано; цена канатной дороги ₾5 не соответствует действительности; заведения Vakhtanguri, Nikoloz's Cellar, Tsiskvili Terrace не подтверждаются. Нарикала, Сиони, Мтацминда, Мост Мира, Хроники Грузии — реальные.</t>
  </si>
  <si>
    <t>Все места реальные, история и современное искусство раскрыты хорошо (Эребуни, Катогике, Кафесчян, Esquisse, Two Arcs, ARAR). Кухня представлена одним заведением при пяти арт-площадках - категория недораскрыта. Часы работы и телефоны даны без подтверждения. Каскад приписан Таманяну - упрощение.</t>
  </si>
  <si>
    <t>Кок-Тобе, БАО, Медеу, Шымбулак, Зелёный базар - реальные, виды и еда покрыты. Парк Панфилова указан «на западной окраине» - фактически центр города. Время до Большого Алматинского озера занижено (30 мин вместо ~1 ч). Современная культура фактически не раскрыта: вместо площадок - променад и парк.</t>
  </si>
  <si>
    <t>• Строки query_id 1–49 —  критические ошибки и заметки в них не проставлены, поэтому Critical rate для первых четырёх сценариев занижен и опирается только на строки 51–100.</t>
  </si>
  <si>
    <t>Critical errors (на строки 51-100)</t>
  </si>
  <si>
    <t>Модель: qwen/qwen3-30b-a3b-instruct-2507</t>
  </si>
  <si>
    <t xml:space="preserve">Ответа нет: «Не удалось завершить запрос в отведённое число шагов». </t>
  </si>
  <si>
    <t>Overall %</t>
  </si>
  <si>
    <t xml:space="preserve">• остальные сценарии — Intent 25% / Relevance 25% / Factuality 35% / Format 15%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</si>
</sst>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1">
    <font>
      <sz val="11"/>
      <name val="Carlito"/>
    </font>
    <font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10"/>
      <color rgb="FF80808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name val="Carlito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164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165" fontId="9" fillId="0" borderId="0" xfId="0" applyNumberFormat="1" applyFont="1"/>
    <xf numFmtId="1" fontId="8" fillId="0" borderId="0" xfId="0" applyNumberFormat="1" applyFont="1"/>
    <xf numFmtId="2" fontId="8" fillId="0" borderId="0" xfId="0" applyNumberFormat="1" applyFont="1"/>
    <xf numFmtId="165" fontId="8" fillId="0" borderId="0" xfId="0" applyNumberFormat="1" applyFont="1"/>
    <xf numFmtId="0" fontId="0" fillId="0" borderId="0" xfId="0" applyAlignment="1">
      <alignment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 wrapText="1"/>
    </xf>
    <xf numFmtId="2" fontId="9" fillId="2" borderId="0" xfId="0" applyNumberFormat="1" applyFont="1" applyFill="1"/>
    <xf numFmtId="2" fontId="8" fillId="2" borderId="0" xfId="0" applyNumberFormat="1" applyFont="1" applyFill="1"/>
    <xf numFmtId="0" fontId="7" fillId="0" borderId="0" xfId="0" applyFont="1" applyAlignment="1">
      <alignment vertical="top" wrapText="1"/>
    </xf>
    <xf numFmtId="0" fontId="0" fillId="0" borderId="0" xfId="0"/>
    <xf numFmtId="0" fontId="10" fillId="2" borderId="0" xfId="0" applyFont="1" applyFill="1"/>
    <xf numFmtId="2" fontId="0" fillId="2" borderId="0" xfId="0" applyNumberFormat="1" applyFill="1"/>
  </cellXfs>
  <cellStyles count="2">
    <cellStyle name="Обычный" xfId="0" builtinId="0"/>
    <cellStyle name="Normal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zoomScale="50" workbookViewId="0">
      <selection activeCell="E56" sqref="E56"/>
    </sheetView>
  </sheetViews>
  <sheetFormatPr baseColWidth="10" defaultColWidth="8.83203125" defaultRowHeight="40" customHeight="1"/>
  <cols>
    <col min="1" max="1" width="12" style="3" customWidth="1"/>
    <col min="2" max="3" width="8.83203125" style="3" customWidth="1"/>
    <col min="4" max="4" width="23.33203125" style="3" customWidth="1"/>
    <col min="5" max="5" width="22.83203125" style="4" customWidth="1"/>
    <col min="6" max="6" width="23.5" style="4" customWidth="1"/>
    <col min="7" max="7" width="40.6640625" style="4" customWidth="1"/>
    <col min="8" max="8" width="49.1640625" style="4" customWidth="1"/>
    <col min="9" max="9" width="56.5" style="4" customWidth="1"/>
    <col min="10" max="10" width="8.83203125" style="3" customWidth="1"/>
    <col min="11" max="16384" width="8.83203125" style="3"/>
  </cols>
  <sheetData>
    <row r="1" spans="1:9" s="1" customFormat="1" ht="4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0" customHeight="1">
      <c r="A2" s="3">
        <v>1</v>
      </c>
      <c r="B2" s="3" t="s">
        <v>9</v>
      </c>
      <c r="C2" s="3" t="s">
        <v>10</v>
      </c>
      <c r="D2" s="3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ht="40" customHeight="1">
      <c r="A3" s="3">
        <v>2</v>
      </c>
      <c r="B3" s="3" t="s">
        <v>9</v>
      </c>
      <c r="C3" s="3" t="s">
        <v>10</v>
      </c>
      <c r="D3" s="3" t="s">
        <v>17</v>
      </c>
      <c r="E3" s="4" t="s">
        <v>12</v>
      </c>
      <c r="F3" s="4" t="s">
        <v>18</v>
      </c>
      <c r="G3" s="4" t="s">
        <v>19</v>
      </c>
      <c r="H3" s="4" t="s">
        <v>15</v>
      </c>
      <c r="I3" s="4" t="s">
        <v>16</v>
      </c>
    </row>
    <row r="4" spans="1:9" ht="40" customHeight="1">
      <c r="A4" s="3">
        <v>3</v>
      </c>
      <c r="B4" s="3" t="s">
        <v>9</v>
      </c>
      <c r="C4" s="3" t="s">
        <v>10</v>
      </c>
      <c r="D4" s="3" t="s">
        <v>20</v>
      </c>
      <c r="E4" s="4" t="s">
        <v>12</v>
      </c>
      <c r="F4" s="4" t="s">
        <v>21</v>
      </c>
      <c r="G4" s="4" t="s">
        <v>22</v>
      </c>
      <c r="H4" s="4" t="s">
        <v>15</v>
      </c>
      <c r="I4" s="4" t="s">
        <v>16</v>
      </c>
    </row>
    <row r="5" spans="1:9" ht="40" customHeight="1">
      <c r="A5" s="3">
        <v>4</v>
      </c>
      <c r="B5" s="3" t="s">
        <v>9</v>
      </c>
      <c r="C5" s="3" t="s">
        <v>10</v>
      </c>
      <c r="D5" s="3" t="s">
        <v>23</v>
      </c>
      <c r="E5" s="4" t="s">
        <v>12</v>
      </c>
      <c r="F5" s="4" t="s">
        <v>24</v>
      </c>
      <c r="G5" s="4" t="s">
        <v>25</v>
      </c>
      <c r="H5" s="4" t="s">
        <v>15</v>
      </c>
      <c r="I5" s="4" t="s">
        <v>16</v>
      </c>
    </row>
    <row r="6" spans="1:9" ht="40" customHeight="1">
      <c r="A6" s="3">
        <v>5</v>
      </c>
      <c r="B6" s="3" t="s">
        <v>9</v>
      </c>
      <c r="C6" s="3" t="s">
        <v>10</v>
      </c>
      <c r="D6" s="3" t="s">
        <v>26</v>
      </c>
      <c r="E6" s="4" t="s">
        <v>12</v>
      </c>
      <c r="F6" s="4" t="s">
        <v>27</v>
      </c>
      <c r="G6" s="4" t="s">
        <v>28</v>
      </c>
      <c r="H6" s="4" t="s">
        <v>15</v>
      </c>
      <c r="I6" s="4" t="s">
        <v>16</v>
      </c>
    </row>
    <row r="7" spans="1:9" ht="40" customHeight="1">
      <c r="A7" s="3">
        <v>6</v>
      </c>
      <c r="B7" s="3" t="s">
        <v>9</v>
      </c>
      <c r="C7" s="3" t="s">
        <v>10</v>
      </c>
      <c r="D7" s="3" t="s">
        <v>29</v>
      </c>
      <c r="E7" s="4" t="s">
        <v>12</v>
      </c>
      <c r="F7" s="4" t="s">
        <v>30</v>
      </c>
      <c r="G7" s="4" t="s">
        <v>31</v>
      </c>
      <c r="H7" s="4" t="s">
        <v>15</v>
      </c>
      <c r="I7" s="4" t="s">
        <v>16</v>
      </c>
    </row>
    <row r="8" spans="1:9" ht="40" customHeight="1">
      <c r="A8" s="3">
        <v>7</v>
      </c>
      <c r="B8" s="3" t="s">
        <v>9</v>
      </c>
      <c r="C8" s="3" t="s">
        <v>10</v>
      </c>
      <c r="D8" s="3" t="s">
        <v>32</v>
      </c>
      <c r="E8" s="4" t="s">
        <v>12</v>
      </c>
      <c r="F8" s="4" t="s">
        <v>33</v>
      </c>
      <c r="G8" s="4" t="s">
        <v>34</v>
      </c>
      <c r="H8" s="4" t="s">
        <v>15</v>
      </c>
      <c r="I8" s="4" t="s">
        <v>16</v>
      </c>
    </row>
    <row r="9" spans="1:9" ht="40" customHeight="1">
      <c r="A9" s="3">
        <v>8</v>
      </c>
      <c r="B9" s="3" t="s">
        <v>35</v>
      </c>
      <c r="C9" s="3" t="s">
        <v>10</v>
      </c>
      <c r="D9" s="3" t="s">
        <v>36</v>
      </c>
      <c r="E9" s="4" t="s">
        <v>12</v>
      </c>
      <c r="F9" s="4" t="s">
        <v>37</v>
      </c>
      <c r="G9" s="4" t="s">
        <v>38</v>
      </c>
      <c r="H9" s="4" t="s">
        <v>15</v>
      </c>
      <c r="I9" s="4" t="s">
        <v>16</v>
      </c>
    </row>
    <row r="10" spans="1:9" ht="40" customHeight="1">
      <c r="A10" s="3">
        <v>9</v>
      </c>
      <c r="B10" s="3" t="s">
        <v>35</v>
      </c>
      <c r="C10" s="3" t="s">
        <v>10</v>
      </c>
      <c r="D10" s="3" t="s">
        <v>39</v>
      </c>
      <c r="E10" s="4" t="s">
        <v>12</v>
      </c>
      <c r="F10" s="4" t="s">
        <v>40</v>
      </c>
      <c r="G10" s="4" t="s">
        <v>41</v>
      </c>
      <c r="H10" s="4" t="s">
        <v>15</v>
      </c>
      <c r="I10" s="4" t="s">
        <v>16</v>
      </c>
    </row>
    <row r="11" spans="1:9" ht="40" customHeight="1">
      <c r="A11" s="3">
        <v>10</v>
      </c>
      <c r="B11" s="3" t="s">
        <v>9</v>
      </c>
      <c r="C11" s="3" t="s">
        <v>42</v>
      </c>
      <c r="D11" s="3" t="s">
        <v>43</v>
      </c>
      <c r="E11" s="4" t="s">
        <v>12</v>
      </c>
      <c r="F11" s="4" t="s">
        <v>44</v>
      </c>
      <c r="G11" s="4" t="s">
        <v>45</v>
      </c>
      <c r="H11" s="4" t="s">
        <v>15</v>
      </c>
      <c r="I11" s="4" t="s">
        <v>16</v>
      </c>
    </row>
    <row r="12" spans="1:9" ht="40" customHeight="1">
      <c r="A12" s="3">
        <v>11</v>
      </c>
      <c r="B12" s="3" t="s">
        <v>9</v>
      </c>
      <c r="C12" s="3" t="s">
        <v>42</v>
      </c>
      <c r="D12" s="3" t="s">
        <v>46</v>
      </c>
      <c r="E12" s="4" t="s">
        <v>12</v>
      </c>
      <c r="F12" s="4" t="s">
        <v>47</v>
      </c>
      <c r="G12" s="4" t="s">
        <v>48</v>
      </c>
      <c r="H12" s="4" t="s">
        <v>15</v>
      </c>
      <c r="I12" s="4" t="s">
        <v>16</v>
      </c>
    </row>
    <row r="13" spans="1:9" ht="40" customHeight="1">
      <c r="A13" s="3">
        <v>12</v>
      </c>
      <c r="B13" s="3" t="s">
        <v>9</v>
      </c>
      <c r="C13" s="3" t="s">
        <v>42</v>
      </c>
      <c r="D13" s="3" t="s">
        <v>49</v>
      </c>
      <c r="E13" s="4" t="s">
        <v>12</v>
      </c>
      <c r="F13" s="4" t="s">
        <v>50</v>
      </c>
      <c r="G13" s="4" t="s">
        <v>51</v>
      </c>
      <c r="H13" s="4" t="s">
        <v>15</v>
      </c>
      <c r="I13" s="4" t="s">
        <v>16</v>
      </c>
    </row>
    <row r="14" spans="1:9" ht="40" customHeight="1">
      <c r="A14" s="3">
        <v>13</v>
      </c>
      <c r="B14" s="3" t="s">
        <v>9</v>
      </c>
      <c r="C14" s="3" t="s">
        <v>42</v>
      </c>
      <c r="D14" s="3" t="s">
        <v>52</v>
      </c>
      <c r="E14" s="4" t="s">
        <v>12</v>
      </c>
      <c r="F14" s="4" t="s">
        <v>53</v>
      </c>
      <c r="G14" s="4" t="s">
        <v>54</v>
      </c>
      <c r="H14" s="4" t="s">
        <v>15</v>
      </c>
      <c r="I14" s="4" t="s">
        <v>16</v>
      </c>
    </row>
    <row r="15" spans="1:9" ht="40" customHeight="1">
      <c r="A15" s="3">
        <v>14</v>
      </c>
      <c r="B15" s="3" t="s">
        <v>35</v>
      </c>
      <c r="C15" s="3" t="s">
        <v>42</v>
      </c>
      <c r="D15" s="3" t="s">
        <v>55</v>
      </c>
      <c r="E15" s="4" t="s">
        <v>12</v>
      </c>
      <c r="F15" s="4" t="s">
        <v>56</v>
      </c>
      <c r="G15" s="4" t="s">
        <v>57</v>
      </c>
      <c r="H15" s="4" t="s">
        <v>15</v>
      </c>
      <c r="I15" s="4" t="s">
        <v>16</v>
      </c>
    </row>
    <row r="16" spans="1:9" ht="40" customHeight="1">
      <c r="A16" s="3">
        <v>15</v>
      </c>
      <c r="B16" s="3" t="s">
        <v>35</v>
      </c>
      <c r="C16" s="3" t="s">
        <v>42</v>
      </c>
      <c r="D16" s="3" t="s">
        <v>58</v>
      </c>
      <c r="E16" s="4" t="s">
        <v>12</v>
      </c>
      <c r="F16" s="4" t="s">
        <v>59</v>
      </c>
      <c r="G16" s="4" t="s">
        <v>60</v>
      </c>
      <c r="H16" s="4" t="s">
        <v>15</v>
      </c>
      <c r="I16" s="4" t="s">
        <v>16</v>
      </c>
    </row>
    <row r="17" spans="1:9" ht="60" customHeight="1">
      <c r="A17" s="3">
        <v>16</v>
      </c>
      <c r="B17" s="3" t="s">
        <v>9</v>
      </c>
      <c r="C17" s="3" t="s">
        <v>10</v>
      </c>
      <c r="D17" s="3" t="s">
        <v>36</v>
      </c>
      <c r="E17" s="4" t="s">
        <v>61</v>
      </c>
      <c r="F17" s="4" t="s">
        <v>62</v>
      </c>
      <c r="G17" s="4" t="s">
        <v>63</v>
      </c>
      <c r="H17" s="4" t="s">
        <v>64</v>
      </c>
      <c r="I17" s="4" t="s">
        <v>65</v>
      </c>
    </row>
    <row r="18" spans="1:9" ht="40" customHeight="1">
      <c r="A18" s="3">
        <v>17</v>
      </c>
      <c r="B18" s="3" t="s">
        <v>9</v>
      </c>
      <c r="C18" s="3" t="s">
        <v>10</v>
      </c>
      <c r="D18" s="3" t="s">
        <v>66</v>
      </c>
      <c r="E18" s="4" t="s">
        <v>61</v>
      </c>
      <c r="F18" s="4" t="s">
        <v>67</v>
      </c>
      <c r="G18" s="4" t="s">
        <v>68</v>
      </c>
      <c r="H18" s="4" t="s">
        <v>64</v>
      </c>
      <c r="I18" s="4" t="s">
        <v>65</v>
      </c>
    </row>
    <row r="19" spans="1:9" ht="69" customHeight="1">
      <c r="A19" s="3">
        <v>18</v>
      </c>
      <c r="B19" s="3" t="s">
        <v>9</v>
      </c>
      <c r="C19" s="3" t="s">
        <v>10</v>
      </c>
      <c r="D19" s="3" t="s">
        <v>39</v>
      </c>
      <c r="E19" s="4" t="s">
        <v>61</v>
      </c>
      <c r="F19" s="4" t="s">
        <v>69</v>
      </c>
      <c r="G19" s="4" t="s">
        <v>70</v>
      </c>
      <c r="H19" s="4" t="s">
        <v>64</v>
      </c>
      <c r="I19" s="4" t="s">
        <v>65</v>
      </c>
    </row>
    <row r="20" spans="1:9" ht="59" customHeight="1">
      <c r="A20" s="3">
        <v>19</v>
      </c>
      <c r="B20" s="3" t="s">
        <v>9</v>
      </c>
      <c r="C20" s="3" t="s">
        <v>10</v>
      </c>
      <c r="D20" s="3" t="s">
        <v>26</v>
      </c>
      <c r="E20" s="4" t="s">
        <v>61</v>
      </c>
      <c r="F20" s="4" t="s">
        <v>71</v>
      </c>
      <c r="G20" s="4" t="s">
        <v>72</v>
      </c>
      <c r="H20" s="4" t="s">
        <v>64</v>
      </c>
      <c r="I20" s="4" t="s">
        <v>65</v>
      </c>
    </row>
    <row r="21" spans="1:9" ht="59" customHeight="1">
      <c r="A21" s="3">
        <v>20</v>
      </c>
      <c r="B21" s="3" t="s">
        <v>9</v>
      </c>
      <c r="C21" s="3" t="s">
        <v>10</v>
      </c>
      <c r="D21" s="3" t="s">
        <v>73</v>
      </c>
      <c r="E21" s="4" t="s">
        <v>61</v>
      </c>
      <c r="F21" s="4" t="s">
        <v>74</v>
      </c>
      <c r="G21" s="4" t="s">
        <v>75</v>
      </c>
      <c r="H21" s="4" t="s">
        <v>64</v>
      </c>
      <c r="I21" s="4" t="s">
        <v>65</v>
      </c>
    </row>
    <row r="22" spans="1:9" ht="63" customHeight="1">
      <c r="A22" s="3">
        <v>21</v>
      </c>
      <c r="B22" s="3" t="s">
        <v>9</v>
      </c>
      <c r="C22" s="3" t="s">
        <v>10</v>
      </c>
      <c r="D22" s="3" t="s">
        <v>29</v>
      </c>
      <c r="E22" s="4" t="s">
        <v>61</v>
      </c>
      <c r="F22" s="4" t="s">
        <v>76</v>
      </c>
      <c r="G22" s="4" t="s">
        <v>77</v>
      </c>
      <c r="H22" s="4" t="s">
        <v>64</v>
      </c>
      <c r="I22" s="4" t="s">
        <v>65</v>
      </c>
    </row>
    <row r="23" spans="1:9" ht="60" customHeight="1">
      <c r="A23" s="3">
        <v>22</v>
      </c>
      <c r="B23" s="3" t="s">
        <v>35</v>
      </c>
      <c r="C23" s="3" t="s">
        <v>10</v>
      </c>
      <c r="D23" s="3" t="s">
        <v>78</v>
      </c>
      <c r="E23" s="4" t="s">
        <v>61</v>
      </c>
      <c r="F23" s="4" t="s">
        <v>79</v>
      </c>
      <c r="G23" s="4" t="s">
        <v>80</v>
      </c>
      <c r="H23" s="4" t="s">
        <v>64</v>
      </c>
      <c r="I23" s="4" t="s">
        <v>65</v>
      </c>
    </row>
    <row r="24" spans="1:9" ht="40" customHeight="1">
      <c r="A24" s="3">
        <v>23</v>
      </c>
      <c r="B24" s="3" t="s">
        <v>35</v>
      </c>
      <c r="C24" s="3" t="s">
        <v>10</v>
      </c>
      <c r="D24" s="3" t="s">
        <v>81</v>
      </c>
      <c r="E24" s="4" t="s">
        <v>61</v>
      </c>
      <c r="F24" s="4" t="s">
        <v>82</v>
      </c>
      <c r="G24" s="4" t="s">
        <v>83</v>
      </c>
      <c r="H24" s="4" t="s">
        <v>64</v>
      </c>
      <c r="I24" s="4" t="s">
        <v>65</v>
      </c>
    </row>
    <row r="25" spans="1:9" ht="64" customHeight="1">
      <c r="A25" s="3">
        <v>24</v>
      </c>
      <c r="B25" s="3" t="s">
        <v>35</v>
      </c>
      <c r="C25" s="3" t="s">
        <v>10</v>
      </c>
      <c r="D25" s="3" t="s">
        <v>11</v>
      </c>
      <c r="E25" s="4" t="s">
        <v>61</v>
      </c>
      <c r="F25" s="4" t="s">
        <v>84</v>
      </c>
      <c r="G25" s="4" t="s">
        <v>85</v>
      </c>
      <c r="H25" s="4" t="s">
        <v>64</v>
      </c>
      <c r="I25" s="4" t="s">
        <v>65</v>
      </c>
    </row>
    <row r="26" spans="1:9" ht="65" customHeight="1">
      <c r="A26" s="3">
        <v>25</v>
      </c>
      <c r="B26" s="3" t="s">
        <v>9</v>
      </c>
      <c r="C26" s="3" t="s">
        <v>42</v>
      </c>
      <c r="D26" s="3" t="s">
        <v>86</v>
      </c>
      <c r="E26" s="4" t="s">
        <v>61</v>
      </c>
      <c r="F26" s="4" t="s">
        <v>87</v>
      </c>
      <c r="G26" s="4" t="s">
        <v>88</v>
      </c>
      <c r="H26" s="4" t="s">
        <v>64</v>
      </c>
      <c r="I26" s="4" t="s">
        <v>65</v>
      </c>
    </row>
    <row r="27" spans="1:9" ht="40" customHeight="1">
      <c r="A27" s="3">
        <v>26</v>
      </c>
      <c r="B27" s="3" t="s">
        <v>9</v>
      </c>
      <c r="C27" s="3" t="s">
        <v>42</v>
      </c>
      <c r="D27" s="3" t="s">
        <v>46</v>
      </c>
      <c r="E27" s="4" t="s">
        <v>61</v>
      </c>
      <c r="F27" s="4" t="s">
        <v>89</v>
      </c>
      <c r="G27" s="4" t="s">
        <v>90</v>
      </c>
      <c r="H27" s="4" t="s">
        <v>64</v>
      </c>
      <c r="I27" s="4" t="s">
        <v>65</v>
      </c>
    </row>
    <row r="28" spans="1:9" ht="57" customHeight="1">
      <c r="A28" s="3">
        <v>27</v>
      </c>
      <c r="B28" s="3" t="s">
        <v>9</v>
      </c>
      <c r="C28" s="3" t="s">
        <v>42</v>
      </c>
      <c r="D28" s="3" t="s">
        <v>52</v>
      </c>
      <c r="E28" s="4" t="s">
        <v>61</v>
      </c>
      <c r="F28" s="4" t="s">
        <v>91</v>
      </c>
      <c r="G28" s="4" t="s">
        <v>92</v>
      </c>
      <c r="H28" s="4" t="s">
        <v>64</v>
      </c>
      <c r="I28" s="4" t="s">
        <v>65</v>
      </c>
    </row>
    <row r="29" spans="1:9" ht="40" customHeight="1">
      <c r="A29" s="3">
        <v>28</v>
      </c>
      <c r="B29" s="3" t="s">
        <v>9</v>
      </c>
      <c r="C29" s="3" t="s">
        <v>42</v>
      </c>
      <c r="D29" s="3" t="s">
        <v>49</v>
      </c>
      <c r="E29" s="4" t="s">
        <v>61</v>
      </c>
      <c r="F29" s="4" t="s">
        <v>93</v>
      </c>
      <c r="G29" s="4" t="s">
        <v>94</v>
      </c>
      <c r="H29" s="4" t="s">
        <v>64</v>
      </c>
      <c r="I29" s="4" t="s">
        <v>65</v>
      </c>
    </row>
    <row r="30" spans="1:9" ht="40" customHeight="1">
      <c r="A30" s="3">
        <v>29</v>
      </c>
      <c r="B30" s="3" t="s">
        <v>35</v>
      </c>
      <c r="C30" s="3" t="s">
        <v>42</v>
      </c>
      <c r="D30" s="3" t="s">
        <v>55</v>
      </c>
      <c r="E30" s="4" t="s">
        <v>61</v>
      </c>
      <c r="F30" s="4" t="s">
        <v>95</v>
      </c>
      <c r="G30" s="4" t="s">
        <v>96</v>
      </c>
      <c r="H30" s="4" t="s">
        <v>64</v>
      </c>
      <c r="I30" s="4" t="s">
        <v>65</v>
      </c>
    </row>
    <row r="31" spans="1:9" ht="54" customHeight="1">
      <c r="A31" s="3">
        <v>30</v>
      </c>
      <c r="B31" s="3" t="s">
        <v>35</v>
      </c>
      <c r="C31" s="3" t="s">
        <v>42</v>
      </c>
      <c r="D31" s="3" t="s">
        <v>43</v>
      </c>
      <c r="E31" s="4" t="s">
        <v>61</v>
      </c>
      <c r="F31" s="4" t="s">
        <v>97</v>
      </c>
      <c r="G31" s="4" t="s">
        <v>98</v>
      </c>
      <c r="H31" s="4" t="s">
        <v>64</v>
      </c>
      <c r="I31" s="4" t="s">
        <v>65</v>
      </c>
    </row>
    <row r="32" spans="1:9" ht="40" customHeight="1">
      <c r="A32" s="3">
        <v>31</v>
      </c>
      <c r="B32" s="3" t="s">
        <v>9</v>
      </c>
      <c r="C32" s="3" t="s">
        <v>10</v>
      </c>
      <c r="D32" s="3" t="s">
        <v>11</v>
      </c>
      <c r="E32" s="4" t="s">
        <v>99</v>
      </c>
      <c r="F32" s="4" t="s">
        <v>100</v>
      </c>
      <c r="G32" s="4" t="s">
        <v>101</v>
      </c>
      <c r="H32" s="4" t="s">
        <v>102</v>
      </c>
      <c r="I32" s="4" t="s">
        <v>103</v>
      </c>
    </row>
    <row r="33" spans="1:9" ht="40" customHeight="1">
      <c r="A33" s="3">
        <v>32</v>
      </c>
      <c r="B33" s="3" t="s">
        <v>9</v>
      </c>
      <c r="C33" s="3" t="s">
        <v>10</v>
      </c>
      <c r="D33" s="3" t="s">
        <v>66</v>
      </c>
      <c r="E33" s="4" t="s">
        <v>99</v>
      </c>
      <c r="F33" s="4" t="s">
        <v>104</v>
      </c>
      <c r="G33" s="4" t="s">
        <v>105</v>
      </c>
      <c r="H33" s="4" t="s">
        <v>102</v>
      </c>
      <c r="I33" s="4" t="s">
        <v>103</v>
      </c>
    </row>
    <row r="34" spans="1:9" ht="40" customHeight="1">
      <c r="A34" s="3">
        <v>33</v>
      </c>
      <c r="B34" s="3" t="s">
        <v>9</v>
      </c>
      <c r="C34" s="3" t="s">
        <v>10</v>
      </c>
      <c r="D34" s="3" t="s">
        <v>23</v>
      </c>
      <c r="E34" s="4" t="s">
        <v>99</v>
      </c>
      <c r="F34" s="4" t="s">
        <v>106</v>
      </c>
      <c r="G34" s="4" t="s">
        <v>107</v>
      </c>
      <c r="H34" s="4" t="s">
        <v>102</v>
      </c>
      <c r="I34" s="4" t="s">
        <v>103</v>
      </c>
    </row>
    <row r="35" spans="1:9" ht="40" customHeight="1">
      <c r="A35" s="3">
        <v>34</v>
      </c>
      <c r="B35" s="3" t="s">
        <v>9</v>
      </c>
      <c r="C35" s="3" t="s">
        <v>10</v>
      </c>
      <c r="D35" s="3" t="s">
        <v>73</v>
      </c>
      <c r="E35" s="4" t="s">
        <v>99</v>
      </c>
      <c r="F35" s="4" t="s">
        <v>108</v>
      </c>
      <c r="G35" s="4" t="s">
        <v>109</v>
      </c>
      <c r="H35" s="4" t="s">
        <v>102</v>
      </c>
      <c r="I35" s="4" t="s">
        <v>103</v>
      </c>
    </row>
    <row r="36" spans="1:9" ht="40" customHeight="1">
      <c r="A36" s="3">
        <v>35</v>
      </c>
      <c r="B36" s="3" t="s">
        <v>9</v>
      </c>
      <c r="C36" s="3" t="s">
        <v>10</v>
      </c>
      <c r="D36" s="3" t="s">
        <v>39</v>
      </c>
      <c r="E36" s="4" t="s">
        <v>99</v>
      </c>
      <c r="F36" s="4" t="s">
        <v>110</v>
      </c>
      <c r="G36" s="4" t="s">
        <v>111</v>
      </c>
      <c r="H36" s="4" t="s">
        <v>102</v>
      </c>
      <c r="I36" s="4" t="s">
        <v>103</v>
      </c>
    </row>
    <row r="37" spans="1:9" ht="40" customHeight="1">
      <c r="A37" s="3">
        <v>36</v>
      </c>
      <c r="B37" s="3" t="s">
        <v>9</v>
      </c>
      <c r="C37" s="3" t="s">
        <v>10</v>
      </c>
      <c r="D37" s="3" t="s">
        <v>36</v>
      </c>
      <c r="E37" s="4" t="s">
        <v>99</v>
      </c>
      <c r="F37" s="4" t="s">
        <v>112</v>
      </c>
      <c r="G37" s="4" t="s">
        <v>113</v>
      </c>
      <c r="H37" s="4" t="s">
        <v>102</v>
      </c>
      <c r="I37" s="4" t="s">
        <v>103</v>
      </c>
    </row>
    <row r="38" spans="1:9" ht="40" customHeight="1">
      <c r="A38" s="3">
        <v>37</v>
      </c>
      <c r="B38" s="3" t="s">
        <v>35</v>
      </c>
      <c r="C38" s="3" t="s">
        <v>10</v>
      </c>
      <c r="D38" s="3" t="s">
        <v>66</v>
      </c>
      <c r="E38" s="4" t="s">
        <v>99</v>
      </c>
      <c r="F38" s="4" t="s">
        <v>114</v>
      </c>
      <c r="G38" s="4" t="s">
        <v>115</v>
      </c>
      <c r="H38" s="4" t="s">
        <v>102</v>
      </c>
      <c r="I38" s="4" t="s">
        <v>103</v>
      </c>
    </row>
    <row r="39" spans="1:9" ht="63" customHeight="1">
      <c r="A39" s="3">
        <v>38</v>
      </c>
      <c r="B39" s="3" t="s">
        <v>35</v>
      </c>
      <c r="C39" s="3" t="s">
        <v>10</v>
      </c>
      <c r="D39" s="3" t="s">
        <v>17</v>
      </c>
      <c r="E39" s="4" t="s">
        <v>99</v>
      </c>
      <c r="F39" s="4" t="s">
        <v>116</v>
      </c>
      <c r="G39" s="4" t="s">
        <v>117</v>
      </c>
      <c r="H39" s="4" t="s">
        <v>102</v>
      </c>
      <c r="I39" s="4" t="s">
        <v>103</v>
      </c>
    </row>
    <row r="40" spans="1:9" ht="40" customHeight="1">
      <c r="A40" s="3">
        <v>39</v>
      </c>
      <c r="B40" s="3" t="s">
        <v>35</v>
      </c>
      <c r="C40" s="3" t="s">
        <v>10</v>
      </c>
      <c r="D40" s="3" t="s">
        <v>26</v>
      </c>
      <c r="E40" s="4" t="s">
        <v>99</v>
      </c>
      <c r="F40" s="4" t="s">
        <v>118</v>
      </c>
      <c r="G40" s="4" t="s">
        <v>119</v>
      </c>
      <c r="H40" s="4" t="s">
        <v>102</v>
      </c>
      <c r="I40" s="4" t="s">
        <v>103</v>
      </c>
    </row>
    <row r="41" spans="1:9" ht="40" customHeight="1">
      <c r="A41" s="3">
        <v>40</v>
      </c>
      <c r="B41" s="3" t="s">
        <v>9</v>
      </c>
      <c r="C41" s="3" t="s">
        <v>42</v>
      </c>
      <c r="D41" s="3" t="s">
        <v>46</v>
      </c>
      <c r="E41" s="4" t="s">
        <v>99</v>
      </c>
      <c r="F41" s="4" t="s">
        <v>120</v>
      </c>
      <c r="G41" s="4" t="s">
        <v>121</v>
      </c>
      <c r="H41" s="4" t="s">
        <v>102</v>
      </c>
      <c r="I41" s="4" t="s">
        <v>103</v>
      </c>
    </row>
    <row r="42" spans="1:9" ht="40" customHeight="1">
      <c r="A42" s="3">
        <v>41</v>
      </c>
      <c r="B42" s="3" t="s">
        <v>9</v>
      </c>
      <c r="C42" s="3" t="s">
        <v>42</v>
      </c>
      <c r="D42" s="3" t="s">
        <v>52</v>
      </c>
      <c r="E42" s="4" t="s">
        <v>99</v>
      </c>
      <c r="F42" s="4" t="s">
        <v>122</v>
      </c>
      <c r="G42" s="4" t="s">
        <v>123</v>
      </c>
      <c r="H42" s="4" t="s">
        <v>102</v>
      </c>
      <c r="I42" s="4" t="s">
        <v>103</v>
      </c>
    </row>
    <row r="43" spans="1:9" ht="40" customHeight="1">
      <c r="A43" s="3">
        <v>42</v>
      </c>
      <c r="B43" s="3" t="s">
        <v>9</v>
      </c>
      <c r="C43" s="3" t="s">
        <v>42</v>
      </c>
      <c r="D43" s="3" t="s">
        <v>55</v>
      </c>
      <c r="E43" s="4" t="s">
        <v>99</v>
      </c>
      <c r="F43" s="4" t="s">
        <v>124</v>
      </c>
      <c r="G43" s="4" t="s">
        <v>125</v>
      </c>
      <c r="H43" s="4" t="s">
        <v>102</v>
      </c>
      <c r="I43" s="4" t="s">
        <v>103</v>
      </c>
    </row>
    <row r="44" spans="1:9" ht="40" customHeight="1">
      <c r="A44" s="3">
        <v>43</v>
      </c>
      <c r="B44" s="3" t="s">
        <v>9</v>
      </c>
      <c r="C44" s="3" t="s">
        <v>42</v>
      </c>
      <c r="D44" s="3" t="s">
        <v>43</v>
      </c>
      <c r="E44" s="4" t="s">
        <v>99</v>
      </c>
      <c r="F44" s="4" t="s">
        <v>126</v>
      </c>
      <c r="G44" s="4" t="s">
        <v>127</v>
      </c>
      <c r="H44" s="4" t="s">
        <v>102</v>
      </c>
      <c r="I44" s="4" t="s">
        <v>103</v>
      </c>
    </row>
    <row r="45" spans="1:9" ht="40" customHeight="1">
      <c r="A45" s="3">
        <v>44</v>
      </c>
      <c r="B45" s="3" t="s">
        <v>35</v>
      </c>
      <c r="C45" s="3" t="s">
        <v>42</v>
      </c>
      <c r="D45" s="3" t="s">
        <v>86</v>
      </c>
      <c r="E45" s="4" t="s">
        <v>99</v>
      </c>
      <c r="F45" s="4" t="s">
        <v>128</v>
      </c>
      <c r="G45" s="4" t="s">
        <v>129</v>
      </c>
      <c r="H45" s="4" t="s">
        <v>102</v>
      </c>
      <c r="I45" s="4" t="s">
        <v>103</v>
      </c>
    </row>
    <row r="46" spans="1:9" ht="40" customHeight="1">
      <c r="A46" s="3">
        <v>45</v>
      </c>
      <c r="B46" s="3" t="s">
        <v>35</v>
      </c>
      <c r="C46" s="3" t="s">
        <v>42</v>
      </c>
      <c r="D46" s="3" t="s">
        <v>130</v>
      </c>
      <c r="E46" s="4" t="s">
        <v>99</v>
      </c>
      <c r="F46" s="4" t="s">
        <v>131</v>
      </c>
      <c r="G46" s="4" t="s">
        <v>132</v>
      </c>
      <c r="H46" s="4" t="s">
        <v>102</v>
      </c>
      <c r="I46" s="4" t="s">
        <v>103</v>
      </c>
    </row>
    <row r="47" spans="1:9" ht="58" customHeight="1">
      <c r="A47" s="3">
        <v>46</v>
      </c>
      <c r="B47" s="3" t="s">
        <v>9</v>
      </c>
      <c r="C47" s="3" t="s">
        <v>10</v>
      </c>
      <c r="D47" s="3" t="s">
        <v>66</v>
      </c>
      <c r="E47" s="4" t="s">
        <v>133</v>
      </c>
      <c r="F47" s="4" t="s">
        <v>134</v>
      </c>
      <c r="G47" s="4" t="s">
        <v>135</v>
      </c>
      <c r="H47" s="4" t="s">
        <v>136</v>
      </c>
      <c r="I47" s="4" t="s">
        <v>137</v>
      </c>
    </row>
    <row r="48" spans="1:9" ht="40" customHeight="1">
      <c r="A48" s="3">
        <v>47</v>
      </c>
      <c r="B48" s="3" t="s">
        <v>9</v>
      </c>
      <c r="C48" s="3" t="s">
        <v>10</v>
      </c>
      <c r="D48" s="3" t="s">
        <v>11</v>
      </c>
      <c r="E48" s="4" t="s">
        <v>133</v>
      </c>
      <c r="F48" s="4" t="s">
        <v>138</v>
      </c>
      <c r="G48" s="4" t="s">
        <v>139</v>
      </c>
      <c r="H48" s="4" t="s">
        <v>136</v>
      </c>
      <c r="I48" s="4" t="s">
        <v>137</v>
      </c>
    </row>
    <row r="49" spans="1:9" ht="40" customHeight="1">
      <c r="A49" s="3">
        <v>48</v>
      </c>
      <c r="B49" s="3" t="s">
        <v>9</v>
      </c>
      <c r="C49" s="3" t="s">
        <v>10</v>
      </c>
      <c r="D49" s="3" t="s">
        <v>20</v>
      </c>
      <c r="E49" s="4" t="s">
        <v>133</v>
      </c>
      <c r="F49" s="4" t="s">
        <v>140</v>
      </c>
      <c r="G49" s="4" t="s">
        <v>141</v>
      </c>
      <c r="H49" s="4" t="s">
        <v>136</v>
      </c>
      <c r="I49" s="4" t="s">
        <v>137</v>
      </c>
    </row>
    <row r="50" spans="1:9" ht="61" customHeight="1">
      <c r="A50" s="3">
        <v>49</v>
      </c>
      <c r="B50" s="3" t="s">
        <v>9</v>
      </c>
      <c r="C50" s="3" t="s">
        <v>10</v>
      </c>
      <c r="D50" s="3" t="s">
        <v>17</v>
      </c>
      <c r="E50" s="4" t="s">
        <v>133</v>
      </c>
      <c r="F50" s="4" t="s">
        <v>142</v>
      </c>
      <c r="G50" s="4" t="s">
        <v>143</v>
      </c>
      <c r="H50" s="4" t="s">
        <v>136</v>
      </c>
      <c r="I50" s="4" t="s">
        <v>137</v>
      </c>
    </row>
    <row r="51" spans="1:9" ht="40" customHeight="1">
      <c r="A51" s="3">
        <v>50</v>
      </c>
      <c r="B51" s="3" t="s">
        <v>9</v>
      </c>
      <c r="C51" s="3" t="s">
        <v>10</v>
      </c>
      <c r="D51" s="3" t="s">
        <v>23</v>
      </c>
      <c r="E51" s="4" t="s">
        <v>133</v>
      </c>
      <c r="F51" s="4" t="s">
        <v>144</v>
      </c>
      <c r="G51" s="4" t="s">
        <v>145</v>
      </c>
      <c r="H51" s="4" t="s">
        <v>136</v>
      </c>
      <c r="I51" s="4" t="s">
        <v>137</v>
      </c>
    </row>
    <row r="52" spans="1:9" ht="40" customHeight="1">
      <c r="A52" s="3">
        <v>51</v>
      </c>
      <c r="B52" s="3" t="s">
        <v>9</v>
      </c>
      <c r="C52" s="3" t="s">
        <v>10</v>
      </c>
      <c r="D52" s="3" t="s">
        <v>73</v>
      </c>
      <c r="E52" s="4" t="s">
        <v>133</v>
      </c>
      <c r="F52" s="4" t="s">
        <v>146</v>
      </c>
      <c r="G52" s="4" t="s">
        <v>147</v>
      </c>
      <c r="H52" s="4" t="s">
        <v>136</v>
      </c>
      <c r="I52" s="4" t="s">
        <v>137</v>
      </c>
    </row>
    <row r="53" spans="1:9" ht="62" customHeight="1">
      <c r="A53" s="3">
        <v>52</v>
      </c>
      <c r="B53" s="3" t="s">
        <v>9</v>
      </c>
      <c r="C53" s="3" t="s">
        <v>10</v>
      </c>
      <c r="D53" s="3" t="s">
        <v>32</v>
      </c>
      <c r="E53" s="4" t="s">
        <v>133</v>
      </c>
      <c r="F53" s="4" t="s">
        <v>148</v>
      </c>
      <c r="G53" s="4" t="s">
        <v>149</v>
      </c>
      <c r="H53" s="4" t="s">
        <v>136</v>
      </c>
      <c r="I53" s="4" t="s">
        <v>137</v>
      </c>
    </row>
    <row r="54" spans="1:9" ht="61" customHeight="1">
      <c r="A54" s="3">
        <v>53</v>
      </c>
      <c r="B54" s="3" t="s">
        <v>35</v>
      </c>
      <c r="C54" s="3" t="s">
        <v>10</v>
      </c>
      <c r="D54" s="3" t="s">
        <v>150</v>
      </c>
      <c r="E54" s="4" t="s">
        <v>133</v>
      </c>
      <c r="F54" s="4" t="s">
        <v>151</v>
      </c>
      <c r="G54" s="4" t="s">
        <v>152</v>
      </c>
      <c r="H54" s="4" t="s">
        <v>136</v>
      </c>
      <c r="I54" s="4" t="s">
        <v>137</v>
      </c>
    </row>
    <row r="55" spans="1:9" ht="59" customHeight="1">
      <c r="A55" s="3">
        <v>54</v>
      </c>
      <c r="B55" s="3" t="s">
        <v>35</v>
      </c>
      <c r="C55" s="3" t="s">
        <v>10</v>
      </c>
      <c r="D55" s="3" t="s">
        <v>29</v>
      </c>
      <c r="E55" s="4" t="s">
        <v>133</v>
      </c>
      <c r="F55" s="4" t="s">
        <v>153</v>
      </c>
      <c r="G55" s="4" t="s">
        <v>154</v>
      </c>
      <c r="H55" s="4" t="s">
        <v>136</v>
      </c>
      <c r="I55" s="4" t="s">
        <v>137</v>
      </c>
    </row>
    <row r="56" spans="1:9" ht="62" customHeight="1">
      <c r="A56" s="3">
        <v>55</v>
      </c>
      <c r="B56" s="3" t="s">
        <v>9</v>
      </c>
      <c r="C56" s="3" t="s">
        <v>42</v>
      </c>
      <c r="D56" s="3" t="s">
        <v>46</v>
      </c>
      <c r="E56" s="4" t="s">
        <v>133</v>
      </c>
      <c r="F56" s="4" t="s">
        <v>155</v>
      </c>
      <c r="G56" s="4" t="s">
        <v>156</v>
      </c>
      <c r="H56" s="4" t="s">
        <v>136</v>
      </c>
      <c r="I56" s="4" t="s">
        <v>137</v>
      </c>
    </row>
    <row r="57" spans="1:9" ht="52" customHeight="1">
      <c r="A57" s="3">
        <v>56</v>
      </c>
      <c r="B57" s="3" t="s">
        <v>9</v>
      </c>
      <c r="C57" s="3" t="s">
        <v>42</v>
      </c>
      <c r="D57" s="3" t="s">
        <v>52</v>
      </c>
      <c r="E57" s="4" t="s">
        <v>133</v>
      </c>
      <c r="F57" s="4" t="s">
        <v>157</v>
      </c>
      <c r="G57" s="4" t="s">
        <v>158</v>
      </c>
      <c r="H57" s="4" t="s">
        <v>136</v>
      </c>
      <c r="I57" s="4" t="s">
        <v>137</v>
      </c>
    </row>
    <row r="58" spans="1:9" ht="56" customHeight="1">
      <c r="A58" s="3">
        <v>57</v>
      </c>
      <c r="B58" s="3" t="s">
        <v>9</v>
      </c>
      <c r="C58" s="3" t="s">
        <v>42</v>
      </c>
      <c r="D58" s="3" t="s">
        <v>43</v>
      </c>
      <c r="E58" s="4" t="s">
        <v>133</v>
      </c>
      <c r="F58" s="4" t="s">
        <v>159</v>
      </c>
      <c r="G58" s="4" t="s">
        <v>160</v>
      </c>
      <c r="H58" s="4" t="s">
        <v>136</v>
      </c>
      <c r="I58" s="4" t="s">
        <v>137</v>
      </c>
    </row>
    <row r="59" spans="1:9" ht="62" customHeight="1">
      <c r="A59" s="3">
        <v>58</v>
      </c>
      <c r="B59" s="3" t="s">
        <v>9</v>
      </c>
      <c r="C59" s="3" t="s">
        <v>42</v>
      </c>
      <c r="D59" s="3" t="s">
        <v>49</v>
      </c>
      <c r="E59" s="4" t="s">
        <v>133</v>
      </c>
      <c r="F59" s="4" t="s">
        <v>161</v>
      </c>
      <c r="G59" s="4" t="s">
        <v>162</v>
      </c>
      <c r="H59" s="4" t="s">
        <v>136</v>
      </c>
      <c r="I59" s="4" t="s">
        <v>137</v>
      </c>
    </row>
    <row r="60" spans="1:9" ht="57" customHeight="1">
      <c r="A60" s="3">
        <v>59</v>
      </c>
      <c r="B60" s="3" t="s">
        <v>35</v>
      </c>
      <c r="C60" s="3" t="s">
        <v>42</v>
      </c>
      <c r="D60" s="3" t="s">
        <v>163</v>
      </c>
      <c r="E60" s="4" t="s">
        <v>133</v>
      </c>
      <c r="F60" s="4" t="s">
        <v>164</v>
      </c>
      <c r="G60" s="4" t="s">
        <v>165</v>
      </c>
      <c r="H60" s="4" t="s">
        <v>136</v>
      </c>
      <c r="I60" s="4" t="s">
        <v>137</v>
      </c>
    </row>
    <row r="61" spans="1:9" ht="70" customHeight="1">
      <c r="A61" s="3">
        <v>60</v>
      </c>
      <c r="B61" s="3" t="s">
        <v>35</v>
      </c>
      <c r="C61" s="3" t="s">
        <v>42</v>
      </c>
      <c r="D61" s="3" t="s">
        <v>58</v>
      </c>
      <c r="E61" s="4" t="s">
        <v>133</v>
      </c>
      <c r="F61" s="4" t="s">
        <v>166</v>
      </c>
      <c r="G61" s="4" t="s">
        <v>167</v>
      </c>
      <c r="H61" s="4" t="s">
        <v>136</v>
      </c>
      <c r="I61" s="4" t="s">
        <v>137</v>
      </c>
    </row>
    <row r="62" spans="1:9" ht="70" customHeight="1">
      <c r="A62" s="3">
        <v>61</v>
      </c>
      <c r="B62" s="3" t="s">
        <v>9</v>
      </c>
      <c r="C62" s="3" t="s">
        <v>10</v>
      </c>
      <c r="D62" s="3" t="s">
        <v>150</v>
      </c>
      <c r="E62" s="4" t="s">
        <v>168</v>
      </c>
      <c r="F62" s="4" t="s">
        <v>169</v>
      </c>
      <c r="G62" s="4" t="s">
        <v>170</v>
      </c>
      <c r="H62" s="4" t="s">
        <v>171</v>
      </c>
      <c r="I62" s="4" t="s">
        <v>172</v>
      </c>
    </row>
    <row r="63" spans="1:9" ht="67" customHeight="1">
      <c r="A63" s="3">
        <v>62</v>
      </c>
      <c r="B63" s="3" t="s">
        <v>9</v>
      </c>
      <c r="C63" s="3" t="s">
        <v>10</v>
      </c>
      <c r="D63" s="3" t="s">
        <v>11</v>
      </c>
      <c r="E63" s="4" t="s">
        <v>168</v>
      </c>
      <c r="F63" s="4" t="s">
        <v>173</v>
      </c>
      <c r="G63" s="4" t="s">
        <v>174</v>
      </c>
      <c r="H63" s="4" t="s">
        <v>171</v>
      </c>
      <c r="I63" s="4" t="s">
        <v>172</v>
      </c>
    </row>
    <row r="64" spans="1:9" ht="58" customHeight="1">
      <c r="A64" s="3">
        <v>63</v>
      </c>
      <c r="B64" s="3" t="s">
        <v>9</v>
      </c>
      <c r="C64" s="3" t="s">
        <v>10</v>
      </c>
      <c r="D64" s="3" t="s">
        <v>66</v>
      </c>
      <c r="E64" s="4" t="s">
        <v>168</v>
      </c>
      <c r="F64" s="4" t="s">
        <v>175</v>
      </c>
      <c r="G64" s="4" t="s">
        <v>176</v>
      </c>
      <c r="H64" s="4" t="s">
        <v>171</v>
      </c>
      <c r="I64" s="4" t="s">
        <v>172</v>
      </c>
    </row>
    <row r="65" spans="1:9" ht="52" customHeight="1">
      <c r="A65" s="3">
        <v>64</v>
      </c>
      <c r="B65" s="3" t="s">
        <v>9</v>
      </c>
      <c r="C65" s="3" t="s">
        <v>10</v>
      </c>
      <c r="D65" s="3" t="s">
        <v>23</v>
      </c>
      <c r="E65" s="4" t="s">
        <v>168</v>
      </c>
      <c r="F65" s="4" t="s">
        <v>177</v>
      </c>
      <c r="G65" s="4" t="s">
        <v>178</v>
      </c>
      <c r="H65" s="4" t="s">
        <v>171</v>
      </c>
      <c r="I65" s="4" t="s">
        <v>172</v>
      </c>
    </row>
    <row r="66" spans="1:9" ht="52" customHeight="1">
      <c r="A66" s="3">
        <v>65</v>
      </c>
      <c r="B66" s="3" t="s">
        <v>9</v>
      </c>
      <c r="C66" s="3" t="s">
        <v>10</v>
      </c>
      <c r="D66" s="3" t="s">
        <v>20</v>
      </c>
      <c r="E66" s="4" t="s">
        <v>168</v>
      </c>
      <c r="F66" s="4" t="s">
        <v>179</v>
      </c>
      <c r="G66" s="4" t="s">
        <v>180</v>
      </c>
      <c r="H66" s="4" t="s">
        <v>171</v>
      </c>
      <c r="I66" s="4" t="s">
        <v>172</v>
      </c>
    </row>
    <row r="67" spans="1:9" ht="52" customHeight="1">
      <c r="A67" s="3">
        <v>66</v>
      </c>
      <c r="B67" s="3" t="s">
        <v>9</v>
      </c>
      <c r="C67" s="3" t="s">
        <v>10</v>
      </c>
      <c r="D67" s="3" t="s">
        <v>26</v>
      </c>
      <c r="E67" s="4" t="s">
        <v>168</v>
      </c>
      <c r="F67" s="4" t="s">
        <v>181</v>
      </c>
      <c r="G67" s="4" t="s">
        <v>182</v>
      </c>
      <c r="H67" s="4" t="s">
        <v>171</v>
      </c>
      <c r="I67" s="4" t="s">
        <v>172</v>
      </c>
    </row>
    <row r="68" spans="1:9" ht="52" customHeight="1">
      <c r="A68" s="3">
        <v>67</v>
      </c>
      <c r="B68" s="3" t="s">
        <v>9</v>
      </c>
      <c r="C68" s="3" t="s">
        <v>10</v>
      </c>
      <c r="D68" s="3" t="s">
        <v>17</v>
      </c>
      <c r="E68" s="4" t="s">
        <v>168</v>
      </c>
      <c r="F68" s="4" t="s">
        <v>183</v>
      </c>
      <c r="G68" s="4" t="s">
        <v>184</v>
      </c>
      <c r="H68" s="4" t="s">
        <v>171</v>
      </c>
      <c r="I68" s="4" t="s">
        <v>172</v>
      </c>
    </row>
    <row r="69" spans="1:9" ht="52" customHeight="1">
      <c r="A69" s="3">
        <v>68</v>
      </c>
      <c r="B69" s="3" t="s">
        <v>9</v>
      </c>
      <c r="C69" s="3" t="s">
        <v>10</v>
      </c>
      <c r="D69" s="3" t="s">
        <v>39</v>
      </c>
      <c r="E69" s="4" t="s">
        <v>168</v>
      </c>
      <c r="F69" s="4" t="s">
        <v>185</v>
      </c>
      <c r="G69" s="4" t="s">
        <v>186</v>
      </c>
      <c r="H69" s="4" t="s">
        <v>171</v>
      </c>
      <c r="I69" s="4" t="s">
        <v>172</v>
      </c>
    </row>
    <row r="70" spans="1:9" ht="52" customHeight="1">
      <c r="A70" s="3">
        <v>69</v>
      </c>
      <c r="B70" s="3" t="s">
        <v>9</v>
      </c>
      <c r="C70" s="3" t="s">
        <v>10</v>
      </c>
      <c r="D70" s="3" t="s">
        <v>73</v>
      </c>
      <c r="E70" s="4" t="s">
        <v>168</v>
      </c>
      <c r="F70" s="4" t="s">
        <v>187</v>
      </c>
      <c r="G70" s="4" t="s">
        <v>188</v>
      </c>
      <c r="H70" s="4" t="s">
        <v>171</v>
      </c>
      <c r="I70" s="4" t="s">
        <v>172</v>
      </c>
    </row>
    <row r="71" spans="1:9" ht="52" customHeight="1">
      <c r="A71" s="3">
        <v>70</v>
      </c>
      <c r="B71" s="3" t="s">
        <v>35</v>
      </c>
      <c r="C71" s="3" t="s">
        <v>10</v>
      </c>
      <c r="D71" s="3" t="s">
        <v>81</v>
      </c>
      <c r="E71" s="4" t="s">
        <v>168</v>
      </c>
      <c r="F71" s="4" t="s">
        <v>189</v>
      </c>
      <c r="G71" s="4" t="s">
        <v>190</v>
      </c>
      <c r="H71" s="4" t="s">
        <v>171</v>
      </c>
      <c r="I71" s="4" t="s">
        <v>172</v>
      </c>
    </row>
    <row r="72" spans="1:9" ht="52" customHeight="1">
      <c r="A72" s="3">
        <v>71</v>
      </c>
      <c r="B72" s="3" t="s">
        <v>35</v>
      </c>
      <c r="C72" s="3" t="s">
        <v>10</v>
      </c>
      <c r="D72" s="3" t="s">
        <v>32</v>
      </c>
      <c r="E72" s="4" t="s">
        <v>168</v>
      </c>
      <c r="F72" s="4" t="s">
        <v>191</v>
      </c>
      <c r="G72" s="4" t="s">
        <v>192</v>
      </c>
      <c r="H72" s="4" t="s">
        <v>171</v>
      </c>
      <c r="I72" s="4" t="s">
        <v>172</v>
      </c>
    </row>
    <row r="73" spans="1:9" ht="52" customHeight="1">
      <c r="A73" s="3">
        <v>72</v>
      </c>
      <c r="B73" s="3" t="s">
        <v>35</v>
      </c>
      <c r="C73" s="3" t="s">
        <v>10</v>
      </c>
      <c r="D73" s="3" t="s">
        <v>29</v>
      </c>
      <c r="E73" s="4" t="s">
        <v>168</v>
      </c>
      <c r="F73" s="4" t="s">
        <v>193</v>
      </c>
      <c r="G73" s="4" t="s">
        <v>194</v>
      </c>
      <c r="H73" s="4" t="s">
        <v>171</v>
      </c>
      <c r="I73" s="4" t="s">
        <v>172</v>
      </c>
    </row>
    <row r="74" spans="1:9" ht="51" customHeight="1">
      <c r="A74" s="3">
        <v>73</v>
      </c>
      <c r="B74" s="3" t="s">
        <v>9</v>
      </c>
      <c r="C74" s="3" t="s">
        <v>42</v>
      </c>
      <c r="D74" s="3" t="s">
        <v>46</v>
      </c>
      <c r="E74" s="4" t="s">
        <v>168</v>
      </c>
      <c r="F74" s="4" t="s">
        <v>195</v>
      </c>
      <c r="G74" s="4" t="s">
        <v>196</v>
      </c>
      <c r="H74" s="4" t="s">
        <v>171</v>
      </c>
      <c r="I74" s="4" t="s">
        <v>172</v>
      </c>
    </row>
    <row r="75" spans="1:9" ht="40" customHeight="1">
      <c r="A75" s="3">
        <v>74</v>
      </c>
      <c r="B75" s="3" t="s">
        <v>9</v>
      </c>
      <c r="C75" s="3" t="s">
        <v>42</v>
      </c>
      <c r="D75" s="3" t="s">
        <v>52</v>
      </c>
      <c r="E75" s="4" t="s">
        <v>168</v>
      </c>
      <c r="F75" s="4" t="s">
        <v>197</v>
      </c>
      <c r="G75" s="4" t="s">
        <v>198</v>
      </c>
      <c r="H75" s="4" t="s">
        <v>171</v>
      </c>
      <c r="I75" s="4" t="s">
        <v>172</v>
      </c>
    </row>
    <row r="76" spans="1:9" ht="71" customHeight="1">
      <c r="A76" s="3">
        <v>75</v>
      </c>
      <c r="B76" s="3" t="s">
        <v>9</v>
      </c>
      <c r="C76" s="3" t="s">
        <v>42</v>
      </c>
      <c r="D76" s="3" t="s">
        <v>43</v>
      </c>
      <c r="E76" s="4" t="s">
        <v>168</v>
      </c>
      <c r="F76" s="4" t="s">
        <v>199</v>
      </c>
      <c r="G76" s="4" t="s">
        <v>200</v>
      </c>
      <c r="H76" s="4" t="s">
        <v>171</v>
      </c>
      <c r="I76" s="4" t="s">
        <v>172</v>
      </c>
    </row>
    <row r="77" spans="1:9" ht="71" customHeight="1">
      <c r="A77" s="3">
        <v>76</v>
      </c>
      <c r="B77" s="3" t="s">
        <v>9</v>
      </c>
      <c r="C77" s="3" t="s">
        <v>42</v>
      </c>
      <c r="D77" s="3" t="s">
        <v>49</v>
      </c>
      <c r="E77" s="4" t="s">
        <v>168</v>
      </c>
      <c r="F77" s="4" t="s">
        <v>201</v>
      </c>
      <c r="G77" s="4" t="s">
        <v>202</v>
      </c>
      <c r="H77" s="4" t="s">
        <v>171</v>
      </c>
      <c r="I77" s="4" t="s">
        <v>172</v>
      </c>
    </row>
    <row r="78" spans="1:9" ht="71" customHeight="1">
      <c r="A78" s="3">
        <v>77</v>
      </c>
      <c r="B78" s="3" t="s">
        <v>9</v>
      </c>
      <c r="C78" s="3" t="s">
        <v>42</v>
      </c>
      <c r="D78" s="3" t="s">
        <v>203</v>
      </c>
      <c r="E78" s="4" t="s">
        <v>168</v>
      </c>
      <c r="F78" s="4" t="s">
        <v>204</v>
      </c>
      <c r="G78" s="4" t="s">
        <v>205</v>
      </c>
      <c r="H78" s="4" t="s">
        <v>171</v>
      </c>
      <c r="I78" s="4" t="s">
        <v>172</v>
      </c>
    </row>
    <row r="79" spans="1:9" ht="71" customHeight="1">
      <c r="A79" s="3">
        <v>78</v>
      </c>
      <c r="B79" s="3" t="s">
        <v>35</v>
      </c>
      <c r="C79" s="3" t="s">
        <v>42</v>
      </c>
      <c r="D79" s="3" t="s">
        <v>55</v>
      </c>
      <c r="E79" s="4" t="s">
        <v>168</v>
      </c>
      <c r="F79" s="4" t="s">
        <v>206</v>
      </c>
      <c r="G79" s="4" t="s">
        <v>207</v>
      </c>
      <c r="H79" s="4" t="s">
        <v>171</v>
      </c>
      <c r="I79" s="4" t="s">
        <v>172</v>
      </c>
    </row>
    <row r="80" spans="1:9" ht="71" customHeight="1">
      <c r="A80" s="3">
        <v>79</v>
      </c>
      <c r="B80" s="3" t="s">
        <v>35</v>
      </c>
      <c r="C80" s="3" t="s">
        <v>42</v>
      </c>
      <c r="D80" s="3" t="s">
        <v>86</v>
      </c>
      <c r="E80" s="4" t="s">
        <v>168</v>
      </c>
      <c r="F80" s="4" t="s">
        <v>208</v>
      </c>
      <c r="G80" s="4" t="s">
        <v>209</v>
      </c>
      <c r="H80" s="4" t="s">
        <v>171</v>
      </c>
      <c r="I80" s="4" t="s">
        <v>172</v>
      </c>
    </row>
    <row r="81" spans="1:9" ht="71" customHeight="1">
      <c r="A81" s="3">
        <v>80</v>
      </c>
      <c r="B81" s="3" t="s">
        <v>35</v>
      </c>
      <c r="C81" s="3" t="s">
        <v>42</v>
      </c>
      <c r="D81" s="3" t="s">
        <v>130</v>
      </c>
      <c r="E81" s="4" t="s">
        <v>168</v>
      </c>
      <c r="F81" s="4" t="s">
        <v>210</v>
      </c>
      <c r="G81" s="4" t="s">
        <v>211</v>
      </c>
      <c r="H81" s="4" t="s">
        <v>171</v>
      </c>
      <c r="I81" s="4" t="s">
        <v>172</v>
      </c>
    </row>
    <row r="82" spans="1:9" ht="40" customHeight="1">
      <c r="A82" s="3">
        <v>81</v>
      </c>
      <c r="B82" s="3" t="s">
        <v>9</v>
      </c>
      <c r="C82" s="3" t="s">
        <v>10</v>
      </c>
      <c r="D82" s="3" t="s">
        <v>73</v>
      </c>
      <c r="E82" s="4" t="s">
        <v>212</v>
      </c>
      <c r="F82" s="4" t="s">
        <v>213</v>
      </c>
      <c r="G82" s="4" t="s">
        <v>214</v>
      </c>
      <c r="H82" s="4" t="s">
        <v>215</v>
      </c>
      <c r="I82" s="4" t="s">
        <v>216</v>
      </c>
    </row>
    <row r="83" spans="1:9" ht="59" customHeight="1">
      <c r="A83" s="3">
        <v>82</v>
      </c>
      <c r="B83" s="3" t="s">
        <v>9</v>
      </c>
      <c r="C83" s="3" t="s">
        <v>10</v>
      </c>
      <c r="D83" s="3" t="s">
        <v>66</v>
      </c>
      <c r="E83" s="4" t="s">
        <v>212</v>
      </c>
      <c r="F83" s="4" t="s">
        <v>217</v>
      </c>
      <c r="G83" s="4" t="s">
        <v>218</v>
      </c>
      <c r="H83" s="4" t="s">
        <v>215</v>
      </c>
      <c r="I83" s="4" t="s">
        <v>216</v>
      </c>
    </row>
    <row r="84" spans="1:9" ht="59" customHeight="1">
      <c r="A84" s="3">
        <v>83</v>
      </c>
      <c r="B84" s="3" t="s">
        <v>9</v>
      </c>
      <c r="C84" s="3" t="s">
        <v>10</v>
      </c>
      <c r="D84" s="3" t="s">
        <v>11</v>
      </c>
      <c r="E84" s="4" t="s">
        <v>212</v>
      </c>
      <c r="F84" s="4" t="s">
        <v>219</v>
      </c>
      <c r="G84" s="4" t="s">
        <v>220</v>
      </c>
      <c r="H84" s="4" t="s">
        <v>215</v>
      </c>
      <c r="I84" s="4" t="s">
        <v>216</v>
      </c>
    </row>
    <row r="85" spans="1:9" ht="59" customHeight="1">
      <c r="A85" s="3">
        <v>84</v>
      </c>
      <c r="B85" s="3" t="s">
        <v>9</v>
      </c>
      <c r="C85" s="3" t="s">
        <v>10</v>
      </c>
      <c r="D85" s="3" t="s">
        <v>23</v>
      </c>
      <c r="E85" s="4" t="s">
        <v>212</v>
      </c>
      <c r="F85" s="4" t="s">
        <v>221</v>
      </c>
      <c r="G85" s="4" t="s">
        <v>222</v>
      </c>
      <c r="H85" s="4" t="s">
        <v>215</v>
      </c>
      <c r="I85" s="4" t="s">
        <v>216</v>
      </c>
    </row>
    <row r="86" spans="1:9" ht="59" customHeight="1">
      <c r="A86" s="3">
        <v>85</v>
      </c>
      <c r="B86" s="3" t="s">
        <v>9</v>
      </c>
      <c r="C86" s="3" t="s">
        <v>10</v>
      </c>
      <c r="D86" s="3" t="s">
        <v>39</v>
      </c>
      <c r="E86" s="4" t="s">
        <v>212</v>
      </c>
      <c r="F86" s="4" t="s">
        <v>223</v>
      </c>
      <c r="G86" s="4" t="s">
        <v>224</v>
      </c>
      <c r="H86" s="4" t="s">
        <v>215</v>
      </c>
      <c r="I86" s="4" t="s">
        <v>216</v>
      </c>
    </row>
    <row r="87" spans="1:9" ht="59" customHeight="1">
      <c r="A87" s="3">
        <v>86</v>
      </c>
      <c r="B87" s="3" t="s">
        <v>9</v>
      </c>
      <c r="C87" s="3" t="s">
        <v>10</v>
      </c>
      <c r="D87" s="3" t="s">
        <v>26</v>
      </c>
      <c r="E87" s="4" t="s">
        <v>212</v>
      </c>
      <c r="F87" s="4" t="s">
        <v>225</v>
      </c>
      <c r="G87" s="4" t="s">
        <v>226</v>
      </c>
      <c r="H87" s="4" t="s">
        <v>215</v>
      </c>
      <c r="I87" s="4" t="s">
        <v>216</v>
      </c>
    </row>
    <row r="88" spans="1:9" ht="59" customHeight="1">
      <c r="A88" s="3">
        <v>87</v>
      </c>
      <c r="B88" s="3" t="s">
        <v>35</v>
      </c>
      <c r="C88" s="3" t="s">
        <v>10</v>
      </c>
      <c r="D88" s="3" t="s">
        <v>150</v>
      </c>
      <c r="E88" s="4" t="s">
        <v>212</v>
      </c>
      <c r="F88" s="4" t="s">
        <v>227</v>
      </c>
      <c r="G88" s="4" t="s">
        <v>228</v>
      </c>
      <c r="H88" s="4" t="s">
        <v>215</v>
      </c>
      <c r="I88" s="4" t="s">
        <v>216</v>
      </c>
    </row>
    <row r="89" spans="1:9" ht="59" customHeight="1">
      <c r="A89" s="3">
        <v>88</v>
      </c>
      <c r="B89" s="3" t="s">
        <v>35</v>
      </c>
      <c r="C89" s="3" t="s">
        <v>10</v>
      </c>
      <c r="D89" s="3" t="s">
        <v>20</v>
      </c>
      <c r="E89" s="4" t="s">
        <v>212</v>
      </c>
      <c r="F89" s="4" t="s">
        <v>229</v>
      </c>
      <c r="G89" s="4" t="s">
        <v>230</v>
      </c>
      <c r="H89" s="4" t="s">
        <v>215</v>
      </c>
      <c r="I89" s="4" t="s">
        <v>216</v>
      </c>
    </row>
    <row r="90" spans="1:9" ht="74" customHeight="1">
      <c r="A90" s="3">
        <v>89</v>
      </c>
      <c r="B90" s="3" t="s">
        <v>35</v>
      </c>
      <c r="C90" s="3" t="s">
        <v>10</v>
      </c>
      <c r="D90" s="3" t="s">
        <v>17</v>
      </c>
      <c r="E90" s="4" t="s">
        <v>212</v>
      </c>
      <c r="F90" s="4" t="s">
        <v>231</v>
      </c>
      <c r="G90" s="4" t="s">
        <v>232</v>
      </c>
      <c r="H90" s="4" t="s">
        <v>215</v>
      </c>
      <c r="I90" s="4" t="s">
        <v>216</v>
      </c>
    </row>
    <row r="91" spans="1:9" ht="59" customHeight="1">
      <c r="A91" s="3">
        <v>90</v>
      </c>
      <c r="B91" s="3" t="s">
        <v>9</v>
      </c>
      <c r="C91" s="3" t="s">
        <v>42</v>
      </c>
      <c r="D91" s="3" t="s">
        <v>46</v>
      </c>
      <c r="E91" s="4" t="s">
        <v>212</v>
      </c>
      <c r="F91" s="4" t="s">
        <v>233</v>
      </c>
      <c r="G91" s="4" t="s">
        <v>234</v>
      </c>
      <c r="H91" s="4" t="s">
        <v>215</v>
      </c>
      <c r="I91" s="4" t="s">
        <v>216</v>
      </c>
    </row>
    <row r="92" spans="1:9" ht="59" customHeight="1">
      <c r="A92" s="3">
        <v>91</v>
      </c>
      <c r="B92" s="3" t="s">
        <v>9</v>
      </c>
      <c r="C92" s="3" t="s">
        <v>42</v>
      </c>
      <c r="D92" s="3" t="s">
        <v>52</v>
      </c>
      <c r="E92" s="4" t="s">
        <v>212</v>
      </c>
      <c r="F92" s="4" t="s">
        <v>235</v>
      </c>
      <c r="G92" s="4" t="s">
        <v>236</v>
      </c>
      <c r="H92" s="4" t="s">
        <v>215</v>
      </c>
      <c r="I92" s="4" t="s">
        <v>216</v>
      </c>
    </row>
    <row r="93" spans="1:9" ht="59" customHeight="1">
      <c r="A93" s="3">
        <v>92</v>
      </c>
      <c r="B93" s="3" t="s">
        <v>9</v>
      </c>
      <c r="C93" s="3" t="s">
        <v>42</v>
      </c>
      <c r="D93" s="3" t="s">
        <v>43</v>
      </c>
      <c r="E93" s="4" t="s">
        <v>212</v>
      </c>
      <c r="F93" s="4" t="s">
        <v>237</v>
      </c>
      <c r="G93" s="4" t="s">
        <v>238</v>
      </c>
      <c r="H93" s="4" t="s">
        <v>215</v>
      </c>
      <c r="I93" s="4" t="s">
        <v>216</v>
      </c>
    </row>
    <row r="94" spans="1:9" ht="59" customHeight="1">
      <c r="A94" s="3">
        <v>93</v>
      </c>
      <c r="B94" s="3" t="s">
        <v>9</v>
      </c>
      <c r="C94" s="3" t="s">
        <v>42</v>
      </c>
      <c r="D94" s="3" t="s">
        <v>49</v>
      </c>
      <c r="E94" s="4" t="s">
        <v>212</v>
      </c>
      <c r="F94" s="4" t="s">
        <v>239</v>
      </c>
      <c r="G94" s="4" t="s">
        <v>240</v>
      </c>
      <c r="H94" s="4" t="s">
        <v>215</v>
      </c>
      <c r="I94" s="4" t="s">
        <v>216</v>
      </c>
    </row>
    <row r="95" spans="1:9" ht="59" customHeight="1">
      <c r="A95" s="3">
        <v>94</v>
      </c>
      <c r="B95" s="3" t="s">
        <v>35</v>
      </c>
      <c r="C95" s="3" t="s">
        <v>42</v>
      </c>
      <c r="D95" s="3" t="s">
        <v>163</v>
      </c>
      <c r="E95" s="4" t="s">
        <v>212</v>
      </c>
      <c r="F95" s="4" t="s">
        <v>241</v>
      </c>
      <c r="G95" s="4" t="s">
        <v>242</v>
      </c>
      <c r="H95" s="4" t="s">
        <v>215</v>
      </c>
      <c r="I95" s="4" t="s">
        <v>216</v>
      </c>
    </row>
    <row r="96" spans="1:9" ht="59" customHeight="1">
      <c r="A96" s="3">
        <v>95</v>
      </c>
      <c r="B96" s="3" t="s">
        <v>35</v>
      </c>
      <c r="C96" s="3" t="s">
        <v>42</v>
      </c>
      <c r="D96" s="3" t="s">
        <v>58</v>
      </c>
      <c r="E96" s="4" t="s">
        <v>212</v>
      </c>
      <c r="F96" s="4" t="s">
        <v>243</v>
      </c>
      <c r="G96" s="4" t="s">
        <v>244</v>
      </c>
      <c r="H96" s="4" t="s">
        <v>215</v>
      </c>
      <c r="I96" s="4" t="s">
        <v>216</v>
      </c>
    </row>
    <row r="97" spans="1:9" ht="40" customHeight="1">
      <c r="A97" s="3">
        <v>96</v>
      </c>
      <c r="B97" s="3" t="s">
        <v>9</v>
      </c>
      <c r="C97" s="3" t="s">
        <v>10</v>
      </c>
      <c r="D97" s="3" t="s">
        <v>66</v>
      </c>
      <c r="E97" s="4" t="s">
        <v>245</v>
      </c>
      <c r="F97" s="4" t="s">
        <v>246</v>
      </c>
      <c r="G97" s="4" t="s">
        <v>247</v>
      </c>
      <c r="H97" s="4" t="s">
        <v>248</v>
      </c>
      <c r="I97" s="4" t="s">
        <v>249</v>
      </c>
    </row>
    <row r="98" spans="1:9" ht="40" customHeight="1">
      <c r="A98" s="3">
        <v>97</v>
      </c>
      <c r="B98" s="3" t="s">
        <v>9</v>
      </c>
      <c r="C98" s="3" t="s">
        <v>10</v>
      </c>
      <c r="D98" s="3" t="s">
        <v>11</v>
      </c>
      <c r="E98" s="4" t="s">
        <v>245</v>
      </c>
      <c r="F98" s="4" t="s">
        <v>250</v>
      </c>
      <c r="G98" s="4" t="s">
        <v>251</v>
      </c>
      <c r="H98" s="4" t="s">
        <v>248</v>
      </c>
      <c r="I98" s="4" t="s">
        <v>249</v>
      </c>
    </row>
    <row r="99" spans="1:9" ht="40" customHeight="1">
      <c r="A99" s="3">
        <v>98</v>
      </c>
      <c r="B99" s="3" t="s">
        <v>35</v>
      </c>
      <c r="C99" s="3" t="s">
        <v>10</v>
      </c>
      <c r="D99" s="3" t="s">
        <v>17</v>
      </c>
      <c r="E99" s="4" t="s">
        <v>245</v>
      </c>
      <c r="F99" s="4" t="s">
        <v>252</v>
      </c>
      <c r="G99" s="4" t="s">
        <v>253</v>
      </c>
      <c r="H99" s="4" t="s">
        <v>248</v>
      </c>
      <c r="I99" s="4" t="s">
        <v>249</v>
      </c>
    </row>
    <row r="100" spans="1:9" ht="40" customHeight="1">
      <c r="A100" s="3">
        <v>99</v>
      </c>
      <c r="B100" s="3" t="s">
        <v>9</v>
      </c>
      <c r="C100" s="3" t="s">
        <v>42</v>
      </c>
      <c r="D100" s="3" t="s">
        <v>46</v>
      </c>
      <c r="E100" s="4" t="s">
        <v>245</v>
      </c>
      <c r="F100" s="4" t="s">
        <v>254</v>
      </c>
      <c r="G100" s="4" t="s">
        <v>255</v>
      </c>
      <c r="H100" s="4" t="s">
        <v>248</v>
      </c>
      <c r="I100" s="4" t="s">
        <v>249</v>
      </c>
    </row>
    <row r="101" spans="1:9" ht="40" customHeight="1">
      <c r="A101" s="3">
        <v>100</v>
      </c>
      <c r="B101" s="3" t="s">
        <v>9</v>
      </c>
      <c r="C101" s="3" t="s">
        <v>42</v>
      </c>
      <c r="D101" s="3" t="s">
        <v>43</v>
      </c>
      <c r="E101" s="4" t="s">
        <v>245</v>
      </c>
      <c r="F101" s="4" t="s">
        <v>256</v>
      </c>
      <c r="G101" s="4" t="s">
        <v>257</v>
      </c>
      <c r="H101" s="4" t="s">
        <v>248</v>
      </c>
      <c r="I101" s="4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1"/>
  <sheetViews>
    <sheetView topLeftCell="F1" workbookViewId="0">
      <pane ySplit="1" topLeftCell="A51" activePane="bottomLeft" state="frozen"/>
      <selection pane="bottomLeft" activeCell="R35" sqref="R35"/>
    </sheetView>
  </sheetViews>
  <sheetFormatPr baseColWidth="10" defaultColWidth="8.83203125" defaultRowHeight="15"/>
  <cols>
    <col min="1" max="1" width="10.6640625" style="3" customWidth="1"/>
    <col min="2" max="3" width="8.83203125" style="3" customWidth="1"/>
    <col min="4" max="4" width="22" style="3" customWidth="1"/>
    <col min="5" max="5" width="25.6640625" style="4" customWidth="1"/>
    <col min="6" max="6" width="95.1640625" style="3" customWidth="1"/>
    <col min="7" max="7" width="8.83203125" style="3" customWidth="1"/>
    <col min="8" max="8" width="17.5" style="4" customWidth="1"/>
    <col min="9" max="9" width="22.33203125" style="3" customWidth="1"/>
    <col min="10" max="10" width="25.6640625" style="4" customWidth="1"/>
    <col min="11" max="11" width="16" style="3" customWidth="1"/>
    <col min="12" max="12" width="13.33203125" style="3" customWidth="1"/>
    <col min="13" max="13" width="8.83203125" style="3" customWidth="1"/>
    <col min="14" max="14" width="11" style="3" customWidth="1"/>
    <col min="15" max="15" width="11.1640625" style="3" customWidth="1"/>
    <col min="16" max="16" width="12.1640625" style="3" bestFit="1" customWidth="1"/>
    <col min="17" max="17" width="12.83203125" style="3" customWidth="1"/>
    <col min="18" max="18" width="16.5" style="3" customWidth="1"/>
    <col min="19" max="19" width="19.83203125" style="3" customWidth="1"/>
    <col min="20" max="20" width="12.83203125" style="3" customWidth="1"/>
    <col min="21" max="16384" width="8.83203125" style="3"/>
  </cols>
  <sheetData>
    <row r="1" spans="1:20" s="1" customFormat="1" ht="23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258</v>
      </c>
      <c r="H1" s="2" t="s">
        <v>259</v>
      </c>
      <c r="I1" s="1" t="s">
        <v>260</v>
      </c>
      <c r="J1" s="2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</row>
    <row r="2" spans="1:20" ht="16" customHeight="1">
      <c r="A2" s="3">
        <v>1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H2" s="18" t="s">
        <v>453</v>
      </c>
      <c r="K2">
        <v>0.8</v>
      </c>
      <c r="L2">
        <v>0.8</v>
      </c>
      <c r="M2">
        <v>0.4</v>
      </c>
      <c r="O2">
        <v>1</v>
      </c>
      <c r="R2" s="3">
        <f t="shared" ref="R2:R33" si="0">IF(A2="","",IF(OR(E2="Маршрут на один день",E2="Планирование поездки на несколько дней"),IF(COUNT(K2:O2)&lt;5,"",MIN(K2*0.2+L2*0.2+M2*0.25+N2*0.25+O2*0.1,IF(P2="Да",2,5))),IF(COUNT(K2:M2)+COUNT(O2)&lt;4,"",MIN(K2*0.25+L2*0.25+M2*0.35+O2*0.15,IF(P2="Да",2,5)))))</f>
        <v>0.69000000000000006</v>
      </c>
    </row>
    <row r="3" spans="1:20" ht="16" customHeight="1">
      <c r="A3" s="3">
        <v>2</v>
      </c>
      <c r="B3" s="3" t="s">
        <v>9</v>
      </c>
      <c r="C3" s="3" t="s">
        <v>10</v>
      </c>
      <c r="D3" s="3" t="s">
        <v>17</v>
      </c>
      <c r="E3" s="4" t="s">
        <v>12</v>
      </c>
      <c r="F3" s="3" t="s">
        <v>18</v>
      </c>
      <c r="H3" s="18" t="s">
        <v>453</v>
      </c>
      <c r="K3">
        <v>5</v>
      </c>
      <c r="L3">
        <v>4</v>
      </c>
      <c r="M3">
        <v>1</v>
      </c>
      <c r="O3">
        <v>5</v>
      </c>
      <c r="R3" s="3">
        <f t="shared" si="0"/>
        <v>3.35</v>
      </c>
    </row>
    <row r="4" spans="1:20" ht="16" customHeight="1">
      <c r="A4" s="3">
        <v>3</v>
      </c>
      <c r="B4" s="3" t="s">
        <v>9</v>
      </c>
      <c r="C4" s="3" t="s">
        <v>10</v>
      </c>
      <c r="D4" s="3" t="s">
        <v>20</v>
      </c>
      <c r="E4" s="4" t="s">
        <v>12</v>
      </c>
      <c r="F4" s="3" t="s">
        <v>21</v>
      </c>
      <c r="H4" s="18" t="s">
        <v>453</v>
      </c>
      <c r="K4">
        <v>5</v>
      </c>
      <c r="L4">
        <v>4</v>
      </c>
      <c r="M4">
        <v>2</v>
      </c>
      <c r="O4">
        <v>5</v>
      </c>
      <c r="R4" s="3">
        <f t="shared" si="0"/>
        <v>3.7</v>
      </c>
    </row>
    <row r="5" spans="1:20" ht="16" customHeight="1">
      <c r="A5" s="3">
        <v>4</v>
      </c>
      <c r="B5" s="3" t="s">
        <v>9</v>
      </c>
      <c r="C5" s="3" t="s">
        <v>10</v>
      </c>
      <c r="D5" s="3" t="s">
        <v>23</v>
      </c>
      <c r="E5" s="4" t="s">
        <v>12</v>
      </c>
      <c r="F5" s="3" t="s">
        <v>24</v>
      </c>
      <c r="H5" s="18" t="s">
        <v>453</v>
      </c>
      <c r="K5">
        <v>5</v>
      </c>
      <c r="L5">
        <v>5</v>
      </c>
      <c r="M5">
        <v>3</v>
      </c>
      <c r="O5">
        <v>5</v>
      </c>
      <c r="R5" s="3">
        <f t="shared" si="0"/>
        <v>4.3</v>
      </c>
    </row>
    <row r="6" spans="1:20" ht="16" customHeight="1">
      <c r="A6" s="3">
        <v>5</v>
      </c>
      <c r="B6" s="3" t="s">
        <v>9</v>
      </c>
      <c r="C6" s="3" t="s">
        <v>10</v>
      </c>
      <c r="D6" s="3" t="s">
        <v>26</v>
      </c>
      <c r="E6" s="4" t="s">
        <v>12</v>
      </c>
      <c r="F6" s="3" t="s">
        <v>27</v>
      </c>
      <c r="H6" s="18" t="s">
        <v>453</v>
      </c>
      <c r="K6">
        <v>4</v>
      </c>
      <c r="L6">
        <v>3</v>
      </c>
      <c r="M6">
        <v>1</v>
      </c>
      <c r="O6">
        <v>5</v>
      </c>
      <c r="R6" s="3">
        <f t="shared" si="0"/>
        <v>2.85</v>
      </c>
    </row>
    <row r="7" spans="1:20" ht="16" customHeight="1">
      <c r="A7" s="3">
        <v>6</v>
      </c>
      <c r="B7" s="3" t="s">
        <v>9</v>
      </c>
      <c r="C7" s="3" t="s">
        <v>10</v>
      </c>
      <c r="D7" s="3" t="s">
        <v>29</v>
      </c>
      <c r="E7" s="4" t="s">
        <v>12</v>
      </c>
      <c r="F7" s="3" t="s">
        <v>30</v>
      </c>
      <c r="H7" s="18" t="s">
        <v>453</v>
      </c>
      <c r="K7">
        <v>5</v>
      </c>
      <c r="L7">
        <v>5</v>
      </c>
      <c r="M7">
        <v>2</v>
      </c>
      <c r="O7">
        <v>5</v>
      </c>
      <c r="R7" s="3">
        <f t="shared" si="0"/>
        <v>3.95</v>
      </c>
    </row>
    <row r="8" spans="1:20" ht="16" customHeight="1">
      <c r="A8" s="3">
        <v>7</v>
      </c>
      <c r="B8" s="3" t="s">
        <v>9</v>
      </c>
      <c r="C8" s="3" t="s">
        <v>10</v>
      </c>
      <c r="D8" s="3" t="s">
        <v>32</v>
      </c>
      <c r="E8" s="4" t="s">
        <v>12</v>
      </c>
      <c r="F8" s="3" t="s">
        <v>33</v>
      </c>
      <c r="H8" s="18" t="s">
        <v>453</v>
      </c>
      <c r="K8">
        <v>4</v>
      </c>
      <c r="L8">
        <v>2</v>
      </c>
      <c r="M8">
        <v>1</v>
      </c>
      <c r="O8">
        <v>4</v>
      </c>
      <c r="R8" s="3">
        <f t="shared" si="0"/>
        <v>2.4500000000000002</v>
      </c>
    </row>
    <row r="9" spans="1:20" ht="16" customHeight="1">
      <c r="A9" s="3">
        <v>8</v>
      </c>
      <c r="B9" s="3" t="s">
        <v>35</v>
      </c>
      <c r="C9" s="3" t="s">
        <v>10</v>
      </c>
      <c r="D9" s="3" t="s">
        <v>36</v>
      </c>
      <c r="E9" s="4" t="s">
        <v>12</v>
      </c>
      <c r="F9" s="3" t="s">
        <v>37</v>
      </c>
      <c r="H9" s="18" t="s">
        <v>453</v>
      </c>
      <c r="K9">
        <v>5</v>
      </c>
      <c r="L9">
        <v>4</v>
      </c>
      <c r="M9">
        <v>2</v>
      </c>
      <c r="O9">
        <v>4</v>
      </c>
      <c r="R9" s="3">
        <f t="shared" si="0"/>
        <v>3.5500000000000003</v>
      </c>
    </row>
    <row r="10" spans="1:20" ht="16" customHeight="1">
      <c r="A10" s="3">
        <v>9</v>
      </c>
      <c r="B10" s="3" t="s">
        <v>35</v>
      </c>
      <c r="C10" s="3" t="s">
        <v>10</v>
      </c>
      <c r="D10" s="3" t="s">
        <v>39</v>
      </c>
      <c r="E10" s="4" t="s">
        <v>12</v>
      </c>
      <c r="F10" s="3" t="s">
        <v>40</v>
      </c>
      <c r="H10" s="18" t="s">
        <v>453</v>
      </c>
      <c r="K10">
        <v>5</v>
      </c>
      <c r="L10">
        <v>4</v>
      </c>
      <c r="M10">
        <v>2</v>
      </c>
      <c r="O10">
        <v>5</v>
      </c>
      <c r="R10" s="3">
        <f t="shared" si="0"/>
        <v>3.7</v>
      </c>
    </row>
    <row r="11" spans="1:20" ht="16" customHeight="1">
      <c r="A11" s="3">
        <v>10</v>
      </c>
      <c r="B11" s="3" t="s">
        <v>9</v>
      </c>
      <c r="C11" s="3" t="s">
        <v>42</v>
      </c>
      <c r="D11" s="3" t="s">
        <v>43</v>
      </c>
      <c r="E11" s="4" t="s">
        <v>12</v>
      </c>
      <c r="F11" s="3" t="s">
        <v>44</v>
      </c>
      <c r="H11" s="18" t="s">
        <v>453</v>
      </c>
      <c r="K11">
        <v>2</v>
      </c>
      <c r="L11">
        <v>2</v>
      </c>
      <c r="M11">
        <v>1</v>
      </c>
      <c r="O11">
        <v>5</v>
      </c>
      <c r="R11" s="3">
        <f t="shared" si="0"/>
        <v>2.1</v>
      </c>
    </row>
    <row r="12" spans="1:20" ht="16" customHeight="1">
      <c r="A12" s="3">
        <v>11</v>
      </c>
      <c r="B12" s="3" t="s">
        <v>9</v>
      </c>
      <c r="C12" s="3" t="s">
        <v>42</v>
      </c>
      <c r="D12" s="3" t="s">
        <v>46</v>
      </c>
      <c r="E12" s="4" t="s">
        <v>12</v>
      </c>
      <c r="F12" s="3" t="s">
        <v>47</v>
      </c>
      <c r="H12" s="18" t="s">
        <v>453</v>
      </c>
      <c r="K12">
        <v>3</v>
      </c>
      <c r="L12">
        <v>3</v>
      </c>
      <c r="M12">
        <v>1</v>
      </c>
      <c r="O12">
        <v>3</v>
      </c>
      <c r="R12" s="3">
        <f t="shared" si="0"/>
        <v>2.2999999999999998</v>
      </c>
    </row>
    <row r="13" spans="1:20" ht="16" customHeight="1">
      <c r="A13" s="3">
        <v>12</v>
      </c>
      <c r="B13" s="3" t="s">
        <v>9</v>
      </c>
      <c r="C13" s="3" t="s">
        <v>42</v>
      </c>
      <c r="D13" s="3" t="s">
        <v>49</v>
      </c>
      <c r="E13" s="4" t="s">
        <v>12</v>
      </c>
      <c r="F13" s="3" t="s">
        <v>50</v>
      </c>
      <c r="H13" s="18" t="s">
        <v>453</v>
      </c>
      <c r="K13">
        <v>3</v>
      </c>
      <c r="L13">
        <v>3</v>
      </c>
      <c r="M13">
        <v>1</v>
      </c>
      <c r="O13">
        <v>4</v>
      </c>
      <c r="R13" s="3">
        <f t="shared" si="0"/>
        <v>2.4500000000000002</v>
      </c>
    </row>
    <row r="14" spans="1:20" ht="16" customHeight="1">
      <c r="A14" s="3">
        <v>13</v>
      </c>
      <c r="B14" s="3" t="s">
        <v>9</v>
      </c>
      <c r="C14" s="3" t="s">
        <v>42</v>
      </c>
      <c r="D14" s="3" t="s">
        <v>52</v>
      </c>
      <c r="E14" s="4" t="s">
        <v>12</v>
      </c>
      <c r="F14" s="3" t="s">
        <v>53</v>
      </c>
      <c r="H14" s="18" t="s">
        <v>453</v>
      </c>
      <c r="K14">
        <v>3</v>
      </c>
      <c r="L14">
        <v>2</v>
      </c>
      <c r="M14">
        <v>1</v>
      </c>
      <c r="O14">
        <v>4</v>
      </c>
      <c r="R14" s="3">
        <f t="shared" si="0"/>
        <v>2.2000000000000002</v>
      </c>
    </row>
    <row r="15" spans="1:20" ht="16" customHeight="1">
      <c r="A15" s="3">
        <v>14</v>
      </c>
      <c r="B15" s="3" t="s">
        <v>35</v>
      </c>
      <c r="C15" s="3" t="s">
        <v>42</v>
      </c>
      <c r="D15" s="3" t="s">
        <v>55</v>
      </c>
      <c r="E15" s="4" t="s">
        <v>12</v>
      </c>
      <c r="F15" s="3" t="s">
        <v>56</v>
      </c>
      <c r="H15" s="18" t="s">
        <v>453</v>
      </c>
      <c r="K15">
        <v>2</v>
      </c>
      <c r="L15">
        <v>2</v>
      </c>
      <c r="M15">
        <v>1</v>
      </c>
      <c r="O15">
        <v>4</v>
      </c>
      <c r="R15" s="3">
        <f t="shared" si="0"/>
        <v>1.9500000000000002</v>
      </c>
    </row>
    <row r="16" spans="1:20" ht="16" customHeight="1">
      <c r="A16" s="3">
        <v>15</v>
      </c>
      <c r="B16" s="3" t="s">
        <v>35</v>
      </c>
      <c r="C16" s="3" t="s">
        <v>42</v>
      </c>
      <c r="D16" s="3" t="s">
        <v>58</v>
      </c>
      <c r="E16" s="4" t="s">
        <v>12</v>
      </c>
      <c r="F16" s="3" t="s">
        <v>59</v>
      </c>
      <c r="H16" s="18" t="s">
        <v>453</v>
      </c>
      <c r="K16">
        <v>3</v>
      </c>
      <c r="L16">
        <v>2</v>
      </c>
      <c r="M16">
        <v>1</v>
      </c>
      <c r="O16">
        <v>4</v>
      </c>
      <c r="R16" s="3">
        <f t="shared" si="0"/>
        <v>2.2000000000000002</v>
      </c>
    </row>
    <row r="17" spans="1:19" ht="32" customHeight="1">
      <c r="A17" s="3">
        <v>16</v>
      </c>
      <c r="B17" s="3" t="s">
        <v>9</v>
      </c>
      <c r="C17" s="3" t="s">
        <v>10</v>
      </c>
      <c r="D17" s="3" t="s">
        <v>36</v>
      </c>
      <c r="E17" s="4" t="s">
        <v>61</v>
      </c>
      <c r="F17" s="3" t="s">
        <v>62</v>
      </c>
      <c r="H17" s="18" t="s">
        <v>453</v>
      </c>
      <c r="K17">
        <v>5</v>
      </c>
      <c r="L17">
        <v>4</v>
      </c>
      <c r="M17">
        <v>4</v>
      </c>
      <c r="O17">
        <v>5</v>
      </c>
      <c r="R17" s="3">
        <f t="shared" si="0"/>
        <v>4.4000000000000004</v>
      </c>
    </row>
    <row r="18" spans="1:19" ht="32" customHeight="1">
      <c r="A18" s="3">
        <v>17</v>
      </c>
      <c r="B18" s="3" t="s">
        <v>9</v>
      </c>
      <c r="C18" s="3" t="s">
        <v>10</v>
      </c>
      <c r="D18" s="3" t="s">
        <v>66</v>
      </c>
      <c r="E18" s="4" t="s">
        <v>61</v>
      </c>
      <c r="F18" s="3" t="s">
        <v>67</v>
      </c>
      <c r="H18" s="18" t="s">
        <v>453</v>
      </c>
      <c r="K18">
        <v>3</v>
      </c>
      <c r="L18">
        <v>3</v>
      </c>
      <c r="M18">
        <v>1</v>
      </c>
      <c r="O18">
        <v>5</v>
      </c>
      <c r="R18" s="3">
        <f t="shared" si="0"/>
        <v>2.6</v>
      </c>
    </row>
    <row r="19" spans="1:19" ht="32" customHeight="1">
      <c r="A19" s="3">
        <v>18</v>
      </c>
      <c r="B19" s="3" t="s">
        <v>9</v>
      </c>
      <c r="C19" s="3" t="s">
        <v>10</v>
      </c>
      <c r="D19" s="3" t="s">
        <v>39</v>
      </c>
      <c r="E19" s="4" t="s">
        <v>61</v>
      </c>
      <c r="F19" s="3" t="s">
        <v>69</v>
      </c>
      <c r="H19" s="18" t="s">
        <v>453</v>
      </c>
      <c r="K19">
        <v>3</v>
      </c>
      <c r="L19">
        <v>3</v>
      </c>
      <c r="M19">
        <v>1</v>
      </c>
      <c r="O19">
        <v>5</v>
      </c>
      <c r="R19" s="3">
        <f t="shared" si="0"/>
        <v>2.6</v>
      </c>
    </row>
    <row r="20" spans="1:19" ht="32" customHeight="1">
      <c r="A20" s="3">
        <v>19</v>
      </c>
      <c r="B20" s="3" t="s">
        <v>9</v>
      </c>
      <c r="C20" s="3" t="s">
        <v>10</v>
      </c>
      <c r="D20" s="3" t="s">
        <v>26</v>
      </c>
      <c r="E20" s="4" t="s">
        <v>61</v>
      </c>
      <c r="F20" s="3" t="s">
        <v>71</v>
      </c>
      <c r="H20" s="18" t="s">
        <v>453</v>
      </c>
      <c r="K20">
        <v>5</v>
      </c>
      <c r="L20">
        <v>4</v>
      </c>
      <c r="M20">
        <v>2</v>
      </c>
      <c r="O20">
        <v>5</v>
      </c>
      <c r="R20" s="3">
        <f t="shared" si="0"/>
        <v>3.7</v>
      </c>
    </row>
    <row r="21" spans="1:19" ht="32" customHeight="1">
      <c r="A21" s="3">
        <v>20</v>
      </c>
      <c r="B21" s="3" t="s">
        <v>9</v>
      </c>
      <c r="C21" s="3" t="s">
        <v>10</v>
      </c>
      <c r="D21" s="3" t="s">
        <v>73</v>
      </c>
      <c r="E21" s="4" t="s">
        <v>61</v>
      </c>
      <c r="F21" s="3" t="s">
        <v>74</v>
      </c>
      <c r="H21" s="18" t="s">
        <v>453</v>
      </c>
      <c r="K21">
        <v>3</v>
      </c>
      <c r="L21">
        <v>3</v>
      </c>
      <c r="M21">
        <v>1</v>
      </c>
      <c r="O21">
        <v>5</v>
      </c>
      <c r="R21" s="3">
        <f t="shared" si="0"/>
        <v>2.6</v>
      </c>
    </row>
    <row r="22" spans="1:19" ht="32" customHeight="1">
      <c r="A22" s="3">
        <v>21</v>
      </c>
      <c r="B22" s="3" t="s">
        <v>9</v>
      </c>
      <c r="C22" s="3" t="s">
        <v>10</v>
      </c>
      <c r="D22" s="3" t="s">
        <v>29</v>
      </c>
      <c r="E22" s="4" t="s">
        <v>61</v>
      </c>
      <c r="F22" s="3" t="s">
        <v>76</v>
      </c>
      <c r="H22" s="18" t="s">
        <v>453</v>
      </c>
      <c r="K22">
        <v>4</v>
      </c>
      <c r="L22">
        <v>4</v>
      </c>
      <c r="M22">
        <v>2</v>
      </c>
      <c r="O22">
        <v>5</v>
      </c>
      <c r="R22" s="3">
        <f t="shared" si="0"/>
        <v>3.45</v>
      </c>
    </row>
    <row r="23" spans="1:19" ht="32" customHeight="1">
      <c r="A23" s="3">
        <v>22</v>
      </c>
      <c r="B23" s="3" t="s">
        <v>35</v>
      </c>
      <c r="C23" s="3" t="s">
        <v>10</v>
      </c>
      <c r="D23" s="3" t="s">
        <v>78</v>
      </c>
      <c r="E23" s="4" t="s">
        <v>61</v>
      </c>
      <c r="F23" s="3" t="s">
        <v>79</v>
      </c>
      <c r="H23" s="18" t="s">
        <v>453</v>
      </c>
      <c r="K23">
        <v>5</v>
      </c>
      <c r="L23">
        <v>4</v>
      </c>
      <c r="M23">
        <v>2</v>
      </c>
      <c r="O23">
        <v>5</v>
      </c>
      <c r="R23" s="3">
        <f t="shared" si="0"/>
        <v>3.7</v>
      </c>
    </row>
    <row r="24" spans="1:19" ht="32" customHeight="1">
      <c r="A24" s="3">
        <v>23</v>
      </c>
      <c r="B24" s="3" t="s">
        <v>35</v>
      </c>
      <c r="C24" s="3" t="s">
        <v>10</v>
      </c>
      <c r="D24" s="3" t="s">
        <v>81</v>
      </c>
      <c r="E24" s="4" t="s">
        <v>61</v>
      </c>
      <c r="F24" s="3" t="s">
        <v>82</v>
      </c>
      <c r="H24" s="18" t="s">
        <v>453</v>
      </c>
      <c r="K24">
        <v>5</v>
      </c>
      <c r="L24">
        <v>4</v>
      </c>
      <c r="M24">
        <v>2</v>
      </c>
      <c r="O24">
        <v>5</v>
      </c>
      <c r="R24" s="3">
        <f t="shared" si="0"/>
        <v>3.7</v>
      </c>
    </row>
    <row r="25" spans="1:19" ht="32" customHeight="1">
      <c r="A25" s="3">
        <v>24</v>
      </c>
      <c r="B25" s="3" t="s">
        <v>35</v>
      </c>
      <c r="C25" s="3" t="s">
        <v>10</v>
      </c>
      <c r="D25" s="3" t="s">
        <v>11</v>
      </c>
      <c r="E25" s="4" t="s">
        <v>61</v>
      </c>
      <c r="F25" s="3" t="s">
        <v>84</v>
      </c>
      <c r="H25" s="18" t="s">
        <v>453</v>
      </c>
      <c r="K25">
        <v>3</v>
      </c>
      <c r="L25">
        <v>3</v>
      </c>
      <c r="M25">
        <v>1</v>
      </c>
      <c r="O25">
        <v>5</v>
      </c>
      <c r="R25" s="3">
        <f t="shared" si="0"/>
        <v>2.6</v>
      </c>
    </row>
    <row r="26" spans="1:19" ht="32" customHeight="1">
      <c r="A26" s="3">
        <v>25</v>
      </c>
      <c r="B26" s="3" t="s">
        <v>9</v>
      </c>
      <c r="C26" s="3" t="s">
        <v>42</v>
      </c>
      <c r="D26" s="3" t="s">
        <v>86</v>
      </c>
      <c r="E26" s="4" t="s">
        <v>61</v>
      </c>
      <c r="F26" s="3" t="s">
        <v>87</v>
      </c>
      <c r="H26" s="18" t="s">
        <v>453</v>
      </c>
      <c r="K26">
        <v>4</v>
      </c>
      <c r="L26">
        <v>4</v>
      </c>
      <c r="M26">
        <v>1</v>
      </c>
      <c r="O26">
        <v>5</v>
      </c>
      <c r="R26" s="3">
        <f t="shared" si="0"/>
        <v>3.1</v>
      </c>
    </row>
    <row r="27" spans="1:19" ht="32" customHeight="1">
      <c r="A27" s="3">
        <v>26</v>
      </c>
      <c r="B27" s="3" t="s">
        <v>9</v>
      </c>
      <c r="C27" s="3" t="s">
        <v>42</v>
      </c>
      <c r="D27" s="3" t="s">
        <v>46</v>
      </c>
      <c r="E27" s="4" t="s">
        <v>61</v>
      </c>
      <c r="F27" s="3" t="s">
        <v>89</v>
      </c>
      <c r="H27" s="18" t="s">
        <v>453</v>
      </c>
      <c r="K27">
        <v>4</v>
      </c>
      <c r="L27">
        <v>3</v>
      </c>
      <c r="M27">
        <v>1</v>
      </c>
      <c r="O27">
        <v>4</v>
      </c>
      <c r="R27" s="3">
        <f t="shared" si="0"/>
        <v>2.7</v>
      </c>
    </row>
    <row r="28" spans="1:19" ht="32" customHeight="1">
      <c r="A28" s="3">
        <v>27</v>
      </c>
      <c r="B28" s="3" t="s">
        <v>9</v>
      </c>
      <c r="C28" s="3" t="s">
        <v>42</v>
      </c>
      <c r="D28" s="3" t="s">
        <v>52</v>
      </c>
      <c r="E28" s="4" t="s">
        <v>61</v>
      </c>
      <c r="F28" s="3" t="s">
        <v>91</v>
      </c>
      <c r="H28" s="18" t="s">
        <v>453</v>
      </c>
      <c r="K28">
        <v>5</v>
      </c>
      <c r="L28">
        <v>3</v>
      </c>
      <c r="M28">
        <v>1</v>
      </c>
      <c r="O28">
        <v>4</v>
      </c>
      <c r="R28" s="3">
        <f t="shared" si="0"/>
        <v>2.95</v>
      </c>
    </row>
    <row r="29" spans="1:19" ht="32" customHeight="1">
      <c r="A29" s="3">
        <v>28</v>
      </c>
      <c r="B29" s="3" t="s">
        <v>9</v>
      </c>
      <c r="C29" s="3" t="s">
        <v>42</v>
      </c>
      <c r="D29" s="3" t="s">
        <v>49</v>
      </c>
      <c r="E29" s="4" t="s">
        <v>61</v>
      </c>
      <c r="F29" s="3" t="s">
        <v>93</v>
      </c>
      <c r="H29" s="18" t="s">
        <v>453</v>
      </c>
      <c r="K29">
        <v>5</v>
      </c>
      <c r="L29">
        <v>3</v>
      </c>
      <c r="M29">
        <v>2</v>
      </c>
      <c r="O29">
        <v>4</v>
      </c>
      <c r="R29" s="3">
        <f t="shared" si="0"/>
        <v>3.3000000000000003</v>
      </c>
    </row>
    <row r="30" spans="1:19" ht="32" customHeight="1">
      <c r="A30" s="3">
        <v>29</v>
      </c>
      <c r="B30" s="3" t="s">
        <v>35</v>
      </c>
      <c r="C30" s="3" t="s">
        <v>42</v>
      </c>
      <c r="D30" s="3" t="s">
        <v>55</v>
      </c>
      <c r="E30" s="4" t="s">
        <v>61</v>
      </c>
      <c r="F30" s="3" t="s">
        <v>95</v>
      </c>
      <c r="H30" s="18" t="s">
        <v>453</v>
      </c>
      <c r="K30">
        <v>5</v>
      </c>
      <c r="L30">
        <v>3</v>
      </c>
      <c r="M30">
        <v>1</v>
      </c>
      <c r="O30">
        <v>4</v>
      </c>
      <c r="R30" s="3">
        <f t="shared" si="0"/>
        <v>2.95</v>
      </c>
    </row>
    <row r="31" spans="1:19" ht="32" customHeight="1">
      <c r="A31" s="3">
        <v>30</v>
      </c>
      <c r="B31" s="3" t="s">
        <v>35</v>
      </c>
      <c r="C31" s="3" t="s">
        <v>42</v>
      </c>
      <c r="D31" s="3" t="s">
        <v>43</v>
      </c>
      <c r="E31" s="4" t="s">
        <v>61</v>
      </c>
      <c r="F31" s="3" t="s">
        <v>97</v>
      </c>
      <c r="H31" s="18" t="s">
        <v>453</v>
      </c>
      <c r="K31">
        <v>5</v>
      </c>
      <c r="L31">
        <v>4</v>
      </c>
      <c r="M31">
        <v>2</v>
      </c>
      <c r="O31">
        <v>5</v>
      </c>
      <c r="R31" s="3">
        <f t="shared" si="0"/>
        <v>3.7</v>
      </c>
    </row>
    <row r="32" spans="1:19" ht="32" customHeight="1">
      <c r="A32" s="3">
        <v>31</v>
      </c>
      <c r="B32" s="3" t="s">
        <v>9</v>
      </c>
      <c r="C32" s="3" t="s">
        <v>10</v>
      </c>
      <c r="D32" s="3" t="s">
        <v>11</v>
      </c>
      <c r="E32" s="4" t="s">
        <v>99</v>
      </c>
      <c r="F32" s="3" t="s">
        <v>100</v>
      </c>
      <c r="H32" s="18" t="s">
        <v>453</v>
      </c>
      <c r="K32">
        <v>5</v>
      </c>
      <c r="L32">
        <v>5</v>
      </c>
      <c r="M32">
        <v>4</v>
      </c>
      <c r="O32">
        <v>5</v>
      </c>
      <c r="R32" s="3">
        <f t="shared" si="0"/>
        <v>4.6500000000000004</v>
      </c>
      <c r="S32" t="s">
        <v>272</v>
      </c>
    </row>
    <row r="33" spans="1:19" ht="32" customHeight="1">
      <c r="A33" s="3">
        <v>32</v>
      </c>
      <c r="B33" s="3" t="s">
        <v>9</v>
      </c>
      <c r="C33" s="3" t="s">
        <v>10</v>
      </c>
      <c r="D33" s="3" t="s">
        <v>66</v>
      </c>
      <c r="E33" s="4" t="s">
        <v>99</v>
      </c>
      <c r="F33" s="3" t="s">
        <v>104</v>
      </c>
      <c r="H33" s="18" t="s">
        <v>453</v>
      </c>
      <c r="K33">
        <v>5</v>
      </c>
      <c r="L33">
        <v>4</v>
      </c>
      <c r="M33">
        <v>3</v>
      </c>
      <c r="O33">
        <v>5</v>
      </c>
      <c r="R33" s="3">
        <f t="shared" si="0"/>
        <v>4.05</v>
      </c>
      <c r="S33" t="s">
        <v>272</v>
      </c>
    </row>
    <row r="34" spans="1:19" ht="32" customHeight="1">
      <c r="A34" s="3">
        <v>33</v>
      </c>
      <c r="B34" s="3" t="s">
        <v>9</v>
      </c>
      <c r="C34" s="3" t="s">
        <v>10</v>
      </c>
      <c r="D34" s="3" t="s">
        <v>23</v>
      </c>
      <c r="E34" s="4" t="s">
        <v>99</v>
      </c>
      <c r="F34" s="3" t="s">
        <v>106</v>
      </c>
      <c r="H34" s="18" t="s">
        <v>453</v>
      </c>
      <c r="K34">
        <v>2</v>
      </c>
      <c r="L34">
        <v>2</v>
      </c>
      <c r="M34">
        <v>1</v>
      </c>
      <c r="O34">
        <v>4</v>
      </c>
      <c r="R34" s="3">
        <f t="shared" ref="R34:R65" si="1">IF(A34="","",IF(OR(E34="Маршрут на один день",E34="Планирование поездки на несколько дней"),IF(COUNT(K34:O34)&lt;5,"",MIN(K34*0.2+L34*0.2+M34*0.25+N34*0.25+O34*0.1,IF(P34="Да",2,5))),IF(COUNT(K34:M34)+COUNT(O34)&lt;4,"",MIN(K34*0.25+L34*0.25+M34*0.35+O34*0.15,IF(P34="Да",2,5)))))</f>
        <v>1.9500000000000002</v>
      </c>
    </row>
    <row r="35" spans="1:19" ht="32" customHeight="1">
      <c r="A35" s="3">
        <v>34</v>
      </c>
      <c r="B35" s="3" t="s">
        <v>9</v>
      </c>
      <c r="C35" s="3" t="s">
        <v>10</v>
      </c>
      <c r="D35" s="3" t="s">
        <v>73</v>
      </c>
      <c r="E35" s="4" t="s">
        <v>99</v>
      </c>
      <c r="F35" s="3" t="s">
        <v>108</v>
      </c>
      <c r="H35" s="18" t="s">
        <v>453</v>
      </c>
      <c r="K35">
        <v>2</v>
      </c>
      <c r="L35">
        <v>2</v>
      </c>
      <c r="M35">
        <v>1</v>
      </c>
      <c r="O35">
        <v>5</v>
      </c>
      <c r="R35" s="3">
        <f t="shared" si="1"/>
        <v>2.1</v>
      </c>
    </row>
    <row r="36" spans="1:19" ht="32" customHeight="1">
      <c r="A36" s="3">
        <v>35</v>
      </c>
      <c r="B36" s="3" t="s">
        <v>9</v>
      </c>
      <c r="C36" s="3" t="s">
        <v>10</v>
      </c>
      <c r="D36" s="3" t="s">
        <v>39</v>
      </c>
      <c r="E36" s="4" t="s">
        <v>99</v>
      </c>
      <c r="F36" s="3" t="s">
        <v>110</v>
      </c>
      <c r="H36" s="18" t="s">
        <v>453</v>
      </c>
      <c r="K36">
        <v>2</v>
      </c>
      <c r="L36">
        <v>1</v>
      </c>
      <c r="M36">
        <v>1</v>
      </c>
      <c r="O36">
        <v>5</v>
      </c>
      <c r="R36" s="3">
        <f t="shared" si="1"/>
        <v>1.85</v>
      </c>
    </row>
    <row r="37" spans="1:19" ht="32" customHeight="1">
      <c r="A37" s="3">
        <v>36</v>
      </c>
      <c r="B37" s="3" t="s">
        <v>9</v>
      </c>
      <c r="C37" s="3" t="s">
        <v>10</v>
      </c>
      <c r="D37" s="3" t="s">
        <v>36</v>
      </c>
      <c r="E37" s="4" t="s">
        <v>99</v>
      </c>
      <c r="F37" s="3" t="s">
        <v>112</v>
      </c>
      <c r="H37" s="18" t="s">
        <v>453</v>
      </c>
      <c r="K37">
        <v>4</v>
      </c>
      <c r="L37">
        <v>4</v>
      </c>
      <c r="M37">
        <v>2</v>
      </c>
      <c r="O37">
        <v>5</v>
      </c>
      <c r="R37" s="3">
        <f t="shared" si="1"/>
        <v>3.45</v>
      </c>
    </row>
    <row r="38" spans="1:19" ht="32" customHeight="1">
      <c r="A38" s="3">
        <v>37</v>
      </c>
      <c r="B38" s="3" t="s">
        <v>35</v>
      </c>
      <c r="C38" s="3" t="s">
        <v>10</v>
      </c>
      <c r="D38" s="3" t="s">
        <v>66</v>
      </c>
      <c r="E38" s="4" t="s">
        <v>99</v>
      </c>
      <c r="F38" s="3" t="s">
        <v>114</v>
      </c>
      <c r="H38" s="18" t="s">
        <v>453</v>
      </c>
      <c r="K38">
        <v>4</v>
      </c>
      <c r="L38">
        <v>4</v>
      </c>
      <c r="M38">
        <v>3</v>
      </c>
      <c r="O38">
        <v>4</v>
      </c>
      <c r="R38" s="3">
        <f t="shared" si="1"/>
        <v>3.65</v>
      </c>
    </row>
    <row r="39" spans="1:19" ht="32" customHeight="1">
      <c r="A39" s="3">
        <v>38</v>
      </c>
      <c r="B39" s="3" t="s">
        <v>35</v>
      </c>
      <c r="C39" s="3" t="s">
        <v>10</v>
      </c>
      <c r="D39" s="3" t="s">
        <v>17</v>
      </c>
      <c r="E39" s="4" t="s">
        <v>99</v>
      </c>
      <c r="F39" s="3" t="s">
        <v>116</v>
      </c>
      <c r="H39" s="18" t="s">
        <v>453</v>
      </c>
      <c r="K39">
        <v>2</v>
      </c>
      <c r="L39">
        <v>2</v>
      </c>
      <c r="M39">
        <v>1</v>
      </c>
      <c r="O39">
        <v>5</v>
      </c>
      <c r="R39" s="3">
        <f t="shared" si="1"/>
        <v>2.1</v>
      </c>
    </row>
    <row r="40" spans="1:19" ht="32" customHeight="1">
      <c r="A40" s="3">
        <v>39</v>
      </c>
      <c r="B40" s="3" t="s">
        <v>35</v>
      </c>
      <c r="C40" s="3" t="s">
        <v>10</v>
      </c>
      <c r="D40" s="3" t="s">
        <v>26</v>
      </c>
      <c r="E40" s="4" t="s">
        <v>99</v>
      </c>
      <c r="F40" s="3" t="s">
        <v>118</v>
      </c>
      <c r="H40" s="18" t="s">
        <v>453</v>
      </c>
      <c r="K40">
        <v>3</v>
      </c>
      <c r="L40">
        <v>3</v>
      </c>
      <c r="M40">
        <v>1</v>
      </c>
      <c r="O40">
        <v>5</v>
      </c>
      <c r="R40" s="3">
        <f t="shared" si="1"/>
        <v>2.6</v>
      </c>
    </row>
    <row r="41" spans="1:19" ht="32" customHeight="1">
      <c r="A41" s="3">
        <v>40</v>
      </c>
      <c r="B41" s="3" t="s">
        <v>9</v>
      </c>
      <c r="C41" s="3" t="s">
        <v>42</v>
      </c>
      <c r="D41" s="3" t="s">
        <v>46</v>
      </c>
      <c r="E41" s="4" t="s">
        <v>99</v>
      </c>
      <c r="F41" s="3" t="s">
        <v>120</v>
      </c>
      <c r="H41" s="18" t="s">
        <v>453</v>
      </c>
      <c r="K41">
        <v>3</v>
      </c>
      <c r="L41">
        <v>2</v>
      </c>
      <c r="M41">
        <v>1</v>
      </c>
      <c r="O41">
        <v>5</v>
      </c>
      <c r="R41" s="3">
        <f t="shared" si="1"/>
        <v>2.35</v>
      </c>
    </row>
    <row r="42" spans="1:19" ht="32" customHeight="1">
      <c r="A42" s="3">
        <v>41</v>
      </c>
      <c r="B42" s="3" t="s">
        <v>9</v>
      </c>
      <c r="C42" s="3" t="s">
        <v>42</v>
      </c>
      <c r="D42" s="3" t="s">
        <v>52</v>
      </c>
      <c r="E42" s="4" t="s">
        <v>99</v>
      </c>
      <c r="F42" s="3" t="s">
        <v>122</v>
      </c>
      <c r="H42" s="18" t="s">
        <v>453</v>
      </c>
      <c r="K42">
        <v>3</v>
      </c>
      <c r="L42">
        <v>2</v>
      </c>
      <c r="M42">
        <v>1</v>
      </c>
      <c r="O42">
        <v>5</v>
      </c>
      <c r="R42" s="3">
        <f t="shared" si="1"/>
        <v>2.35</v>
      </c>
    </row>
    <row r="43" spans="1:19" ht="32" customHeight="1">
      <c r="A43" s="3">
        <v>42</v>
      </c>
      <c r="B43" s="3" t="s">
        <v>9</v>
      </c>
      <c r="C43" s="3" t="s">
        <v>42</v>
      </c>
      <c r="D43" s="3" t="s">
        <v>55</v>
      </c>
      <c r="E43" s="4" t="s">
        <v>99</v>
      </c>
      <c r="F43" s="3" t="s">
        <v>124</v>
      </c>
      <c r="H43" s="18" t="s">
        <v>453</v>
      </c>
      <c r="K43">
        <v>3</v>
      </c>
      <c r="L43">
        <v>3</v>
      </c>
      <c r="M43">
        <v>3</v>
      </c>
      <c r="O43">
        <v>5</v>
      </c>
      <c r="R43" s="3">
        <f t="shared" si="1"/>
        <v>3.3</v>
      </c>
    </row>
    <row r="44" spans="1:19" ht="32" customHeight="1">
      <c r="A44" s="3">
        <v>43</v>
      </c>
      <c r="B44" s="3" t="s">
        <v>9</v>
      </c>
      <c r="C44" s="3" t="s">
        <v>42</v>
      </c>
      <c r="D44" s="3" t="s">
        <v>43</v>
      </c>
      <c r="E44" s="4" t="s">
        <v>99</v>
      </c>
      <c r="F44" s="3" t="s">
        <v>126</v>
      </c>
      <c r="H44" s="18" t="s">
        <v>453</v>
      </c>
      <c r="K44">
        <v>3</v>
      </c>
      <c r="L44">
        <v>3</v>
      </c>
      <c r="M44">
        <v>2</v>
      </c>
      <c r="O44">
        <v>5</v>
      </c>
      <c r="R44" s="3">
        <f t="shared" si="1"/>
        <v>2.95</v>
      </c>
    </row>
    <row r="45" spans="1:19" ht="32" customHeight="1">
      <c r="A45" s="3">
        <v>44</v>
      </c>
      <c r="B45" s="3" t="s">
        <v>35</v>
      </c>
      <c r="C45" s="3" t="s">
        <v>42</v>
      </c>
      <c r="D45" s="3" t="s">
        <v>86</v>
      </c>
      <c r="E45" s="4" t="s">
        <v>99</v>
      </c>
      <c r="F45" s="3" t="s">
        <v>128</v>
      </c>
      <c r="H45" s="18" t="s">
        <v>453</v>
      </c>
      <c r="K45">
        <v>5</v>
      </c>
      <c r="L45">
        <v>4</v>
      </c>
      <c r="M45">
        <v>3</v>
      </c>
      <c r="O45">
        <v>5</v>
      </c>
      <c r="R45" s="3">
        <f t="shared" si="1"/>
        <v>4.05</v>
      </c>
    </row>
    <row r="46" spans="1:19" ht="32" customHeight="1">
      <c r="A46" s="3">
        <v>45</v>
      </c>
      <c r="B46" s="3" t="s">
        <v>35</v>
      </c>
      <c r="C46" s="3" t="s">
        <v>42</v>
      </c>
      <c r="D46" s="3" t="s">
        <v>130</v>
      </c>
      <c r="E46" s="4" t="s">
        <v>99</v>
      </c>
      <c r="F46" s="3" t="s">
        <v>131</v>
      </c>
      <c r="H46" s="18" t="s">
        <v>453</v>
      </c>
      <c r="K46">
        <v>3</v>
      </c>
      <c r="L46">
        <v>3</v>
      </c>
      <c r="M46">
        <v>2</v>
      </c>
      <c r="O46">
        <v>5</v>
      </c>
      <c r="R46" s="3">
        <f t="shared" si="1"/>
        <v>2.95</v>
      </c>
    </row>
    <row r="47" spans="1:19" ht="16" customHeight="1">
      <c r="A47" s="3">
        <v>46</v>
      </c>
      <c r="B47" s="3" t="s">
        <v>9</v>
      </c>
      <c r="C47" s="3" t="s">
        <v>10</v>
      </c>
      <c r="D47" s="3" t="s">
        <v>66</v>
      </c>
      <c r="E47" s="4" t="s">
        <v>133</v>
      </c>
      <c r="F47" s="3" t="s">
        <v>134</v>
      </c>
      <c r="H47" s="18" t="s">
        <v>453</v>
      </c>
      <c r="K47">
        <v>5</v>
      </c>
      <c r="L47">
        <v>4</v>
      </c>
      <c r="M47">
        <v>2</v>
      </c>
      <c r="O47">
        <v>3</v>
      </c>
      <c r="R47" s="3">
        <f t="shared" si="1"/>
        <v>3.4000000000000004</v>
      </c>
    </row>
    <row r="48" spans="1:19" ht="16" customHeight="1">
      <c r="A48" s="3">
        <v>47</v>
      </c>
      <c r="B48" s="3" t="s">
        <v>9</v>
      </c>
      <c r="C48" s="3" t="s">
        <v>10</v>
      </c>
      <c r="D48" s="3" t="s">
        <v>11</v>
      </c>
      <c r="E48" s="4" t="s">
        <v>133</v>
      </c>
      <c r="F48" s="3" t="s">
        <v>138</v>
      </c>
      <c r="H48" s="18" t="s">
        <v>453</v>
      </c>
      <c r="K48">
        <v>5</v>
      </c>
      <c r="L48">
        <v>4</v>
      </c>
      <c r="M48">
        <v>2</v>
      </c>
      <c r="O48">
        <v>5</v>
      </c>
      <c r="R48" s="3">
        <f t="shared" si="1"/>
        <v>3.7</v>
      </c>
    </row>
    <row r="49" spans="1:20" ht="16" customHeight="1">
      <c r="A49" s="3">
        <v>48</v>
      </c>
      <c r="B49" s="3" t="s">
        <v>9</v>
      </c>
      <c r="C49" s="3" t="s">
        <v>10</v>
      </c>
      <c r="D49" s="3" t="s">
        <v>20</v>
      </c>
      <c r="E49" s="4" t="s">
        <v>133</v>
      </c>
      <c r="F49" s="3" t="s">
        <v>140</v>
      </c>
      <c r="H49" s="18" t="s">
        <v>453</v>
      </c>
      <c r="K49">
        <v>5</v>
      </c>
      <c r="L49">
        <v>5</v>
      </c>
      <c r="M49">
        <v>3</v>
      </c>
      <c r="O49">
        <v>5</v>
      </c>
      <c r="R49" s="3">
        <f t="shared" si="1"/>
        <v>4.3</v>
      </c>
    </row>
    <row r="50" spans="1:20" ht="16" customHeight="1">
      <c r="A50" s="3">
        <v>49</v>
      </c>
      <c r="B50" s="3" t="s">
        <v>9</v>
      </c>
      <c r="C50" s="3" t="s">
        <v>10</v>
      </c>
      <c r="D50" s="3" t="s">
        <v>17</v>
      </c>
      <c r="E50" s="4" t="s">
        <v>133</v>
      </c>
      <c r="F50" s="3" t="s">
        <v>142</v>
      </c>
      <c r="H50" s="18" t="s">
        <v>453</v>
      </c>
      <c r="K50">
        <v>5</v>
      </c>
      <c r="L50">
        <v>4</v>
      </c>
      <c r="M50">
        <v>2</v>
      </c>
      <c r="O50">
        <v>4</v>
      </c>
      <c r="R50" s="3">
        <f t="shared" si="1"/>
        <v>3.5500000000000003</v>
      </c>
    </row>
    <row r="51" spans="1:20" ht="16" customHeight="1">
      <c r="A51" s="3">
        <v>50</v>
      </c>
      <c r="B51" s="3" t="s">
        <v>9</v>
      </c>
      <c r="C51" s="3" t="s">
        <v>10</v>
      </c>
      <c r="D51" s="3" t="s">
        <v>23</v>
      </c>
      <c r="E51" s="4" t="s">
        <v>133</v>
      </c>
      <c r="F51" s="3" t="s">
        <v>144</v>
      </c>
      <c r="G51" t="s">
        <v>273</v>
      </c>
      <c r="H51" s="18" t="s">
        <v>453</v>
      </c>
      <c r="I51" t="s">
        <v>274</v>
      </c>
      <c r="J51" s="18" t="s">
        <v>275</v>
      </c>
      <c r="K51">
        <v>5</v>
      </c>
      <c r="L51">
        <v>4</v>
      </c>
      <c r="M51">
        <v>2</v>
      </c>
      <c r="O51">
        <v>5</v>
      </c>
      <c r="P51" t="s">
        <v>276</v>
      </c>
      <c r="Q51" t="s">
        <v>277</v>
      </c>
      <c r="R51" s="3">
        <f t="shared" si="1"/>
        <v>2</v>
      </c>
      <c r="S51" t="s">
        <v>278</v>
      </c>
      <c r="T51" s="7">
        <v>46231</v>
      </c>
    </row>
    <row r="52" spans="1:20" ht="32" customHeight="1">
      <c r="A52" s="3">
        <v>51</v>
      </c>
      <c r="B52" s="3" t="s">
        <v>9</v>
      </c>
      <c r="C52" s="3" t="s">
        <v>10</v>
      </c>
      <c r="D52" s="3" t="s">
        <v>73</v>
      </c>
      <c r="E52" s="4" t="s">
        <v>133</v>
      </c>
      <c r="F52" s="3" t="s">
        <v>146</v>
      </c>
      <c r="G52" t="s">
        <v>273</v>
      </c>
      <c r="H52" s="18" t="s">
        <v>453</v>
      </c>
      <c r="I52" t="s">
        <v>279</v>
      </c>
      <c r="J52" s="6" t="s">
        <v>280</v>
      </c>
      <c r="K52">
        <v>5</v>
      </c>
      <c r="L52">
        <v>4</v>
      </c>
      <c r="M52">
        <v>4</v>
      </c>
      <c r="O52">
        <v>5</v>
      </c>
      <c r="P52" t="s">
        <v>281</v>
      </c>
      <c r="Q52" t="s">
        <v>282</v>
      </c>
      <c r="R52" s="3">
        <f t="shared" si="1"/>
        <v>4.4000000000000004</v>
      </c>
      <c r="S52" t="s">
        <v>283</v>
      </c>
      <c r="T52" s="7">
        <v>46231</v>
      </c>
    </row>
    <row r="53" spans="1:20" ht="80" customHeight="1">
      <c r="A53" s="3">
        <v>52</v>
      </c>
      <c r="B53" s="3" t="s">
        <v>9</v>
      </c>
      <c r="C53" s="3" t="s">
        <v>10</v>
      </c>
      <c r="D53" s="3" t="s">
        <v>32</v>
      </c>
      <c r="E53" s="4" t="s">
        <v>133</v>
      </c>
      <c r="F53" s="3" t="s">
        <v>148</v>
      </c>
      <c r="G53" t="s">
        <v>273</v>
      </c>
      <c r="H53" s="18" t="s">
        <v>453</v>
      </c>
      <c r="I53" t="s">
        <v>274</v>
      </c>
      <c r="J53" s="6" t="s">
        <v>284</v>
      </c>
      <c r="K53">
        <v>5</v>
      </c>
      <c r="L53">
        <v>4</v>
      </c>
      <c r="M53">
        <v>4</v>
      </c>
      <c r="O53">
        <v>5</v>
      </c>
      <c r="P53" t="s">
        <v>281</v>
      </c>
      <c r="Q53" t="s">
        <v>285</v>
      </c>
      <c r="R53" s="3">
        <f t="shared" si="1"/>
        <v>4.4000000000000004</v>
      </c>
      <c r="S53" t="s">
        <v>286</v>
      </c>
      <c r="T53" s="7">
        <v>46231</v>
      </c>
    </row>
    <row r="54" spans="1:20" ht="32" customHeight="1">
      <c r="A54" s="3">
        <v>53</v>
      </c>
      <c r="B54" s="3" t="s">
        <v>35</v>
      </c>
      <c r="C54" s="3" t="s">
        <v>10</v>
      </c>
      <c r="D54" s="3" t="s">
        <v>150</v>
      </c>
      <c r="E54" s="4" t="s">
        <v>133</v>
      </c>
      <c r="F54" s="3" t="s">
        <v>151</v>
      </c>
      <c r="G54" t="s">
        <v>273</v>
      </c>
      <c r="H54" s="18" t="s">
        <v>453</v>
      </c>
      <c r="I54" t="s">
        <v>274</v>
      </c>
      <c r="J54" s="6" t="s">
        <v>287</v>
      </c>
      <c r="K54">
        <v>5</v>
      </c>
      <c r="L54">
        <v>4</v>
      </c>
      <c r="M54">
        <v>2</v>
      </c>
      <c r="O54">
        <v>4</v>
      </c>
      <c r="P54" t="s">
        <v>276</v>
      </c>
      <c r="Q54" t="s">
        <v>288</v>
      </c>
      <c r="R54" s="3">
        <f t="shared" si="1"/>
        <v>2</v>
      </c>
      <c r="S54" t="s">
        <v>289</v>
      </c>
      <c r="T54" s="7">
        <v>46231</v>
      </c>
    </row>
    <row r="55" spans="1:20" ht="32" customHeight="1">
      <c r="A55" s="3">
        <v>54</v>
      </c>
      <c r="B55" s="3" t="s">
        <v>35</v>
      </c>
      <c r="C55" s="3" t="s">
        <v>10</v>
      </c>
      <c r="D55" s="3" t="s">
        <v>29</v>
      </c>
      <c r="E55" s="4" t="s">
        <v>133</v>
      </c>
      <c r="F55" s="3" t="s">
        <v>153</v>
      </c>
      <c r="G55" t="s">
        <v>273</v>
      </c>
      <c r="H55" s="18" t="s">
        <v>453</v>
      </c>
      <c r="I55" t="s">
        <v>274</v>
      </c>
      <c r="J55" s="6" t="s">
        <v>290</v>
      </c>
      <c r="K55">
        <v>5</v>
      </c>
      <c r="L55">
        <v>4</v>
      </c>
      <c r="M55">
        <v>2</v>
      </c>
      <c r="O55">
        <v>3</v>
      </c>
      <c r="P55" t="s">
        <v>276</v>
      </c>
      <c r="Q55" t="s">
        <v>291</v>
      </c>
      <c r="R55" s="3">
        <f t="shared" si="1"/>
        <v>2</v>
      </c>
      <c r="S55" t="s">
        <v>292</v>
      </c>
      <c r="T55" s="7">
        <v>46231</v>
      </c>
    </row>
    <row r="56" spans="1:20" ht="80" customHeight="1">
      <c r="A56" s="3">
        <v>55</v>
      </c>
      <c r="B56" s="3" t="s">
        <v>9</v>
      </c>
      <c r="C56" s="3" t="s">
        <v>42</v>
      </c>
      <c r="D56" s="3" t="s">
        <v>46</v>
      </c>
      <c r="E56" s="4" t="s">
        <v>133</v>
      </c>
      <c r="F56" s="3" t="s">
        <v>155</v>
      </c>
      <c r="G56" t="s">
        <v>273</v>
      </c>
      <c r="H56" s="18" t="s">
        <v>453</v>
      </c>
      <c r="I56" t="s">
        <v>293</v>
      </c>
      <c r="J56" s="4" t="s">
        <v>294</v>
      </c>
      <c r="K56">
        <v>3</v>
      </c>
      <c r="L56">
        <v>3</v>
      </c>
      <c r="M56">
        <v>2</v>
      </c>
      <c r="O56">
        <v>4</v>
      </c>
      <c r="P56" t="s">
        <v>276</v>
      </c>
      <c r="Q56" t="s">
        <v>295</v>
      </c>
      <c r="R56" s="3">
        <f t="shared" si="1"/>
        <v>2</v>
      </c>
      <c r="S56" t="s">
        <v>456</v>
      </c>
      <c r="T56" s="7">
        <v>46231</v>
      </c>
    </row>
    <row r="57" spans="1:20" ht="16" customHeight="1">
      <c r="A57" s="3">
        <v>56</v>
      </c>
      <c r="B57" s="3" t="s">
        <v>9</v>
      </c>
      <c r="C57" s="3" t="s">
        <v>42</v>
      </c>
      <c r="D57" s="3" t="s">
        <v>52</v>
      </c>
      <c r="E57" s="4" t="s">
        <v>133</v>
      </c>
      <c r="F57" s="3" t="s">
        <v>157</v>
      </c>
      <c r="G57" t="s">
        <v>273</v>
      </c>
      <c r="H57" s="18" t="s">
        <v>453</v>
      </c>
      <c r="I57" t="s">
        <v>279</v>
      </c>
      <c r="J57" s="18" t="s">
        <v>296</v>
      </c>
      <c r="K57">
        <v>5</v>
      </c>
      <c r="L57">
        <v>4</v>
      </c>
      <c r="M57">
        <v>4</v>
      </c>
      <c r="O57">
        <v>4</v>
      </c>
      <c r="P57" t="s">
        <v>281</v>
      </c>
      <c r="Q57" t="s">
        <v>297</v>
      </c>
      <c r="R57" s="3">
        <f t="shared" si="1"/>
        <v>4.25</v>
      </c>
      <c r="S57" t="s">
        <v>457</v>
      </c>
      <c r="T57" s="7">
        <v>46231</v>
      </c>
    </row>
    <row r="58" spans="1:20" ht="16" customHeight="1">
      <c r="A58" s="3">
        <v>57</v>
      </c>
      <c r="B58" s="3" t="s">
        <v>9</v>
      </c>
      <c r="C58" s="3" t="s">
        <v>42</v>
      </c>
      <c r="D58" s="3" t="s">
        <v>43</v>
      </c>
      <c r="E58" s="4" t="s">
        <v>133</v>
      </c>
      <c r="F58" s="3" t="s">
        <v>159</v>
      </c>
      <c r="G58" t="s">
        <v>273</v>
      </c>
      <c r="H58" s="18" t="s">
        <v>453</v>
      </c>
      <c r="I58" t="s">
        <v>274</v>
      </c>
      <c r="J58" s="18" t="s">
        <v>298</v>
      </c>
      <c r="K58">
        <v>5</v>
      </c>
      <c r="L58">
        <v>3</v>
      </c>
      <c r="M58">
        <v>3</v>
      </c>
      <c r="O58">
        <v>5</v>
      </c>
      <c r="P58" t="s">
        <v>281</v>
      </c>
      <c r="Q58" t="s">
        <v>299</v>
      </c>
      <c r="R58" s="3">
        <f t="shared" si="1"/>
        <v>3.8</v>
      </c>
      <c r="S58" t="s">
        <v>458</v>
      </c>
      <c r="T58" s="7">
        <v>46231</v>
      </c>
    </row>
    <row r="59" spans="1:20" ht="16" customHeight="1">
      <c r="A59" s="3">
        <v>58</v>
      </c>
      <c r="B59" s="3" t="s">
        <v>9</v>
      </c>
      <c r="C59" s="3" t="s">
        <v>42</v>
      </c>
      <c r="D59" s="3" t="s">
        <v>49</v>
      </c>
      <c r="E59" s="4" t="s">
        <v>133</v>
      </c>
      <c r="F59" s="3" t="s">
        <v>161</v>
      </c>
      <c r="G59" t="s">
        <v>273</v>
      </c>
      <c r="H59" s="18" t="s">
        <v>453</v>
      </c>
      <c r="I59" t="s">
        <v>274</v>
      </c>
      <c r="J59" s="18" t="s">
        <v>300</v>
      </c>
      <c r="K59">
        <v>5</v>
      </c>
      <c r="L59">
        <v>4</v>
      </c>
      <c r="M59">
        <v>2</v>
      </c>
      <c r="O59">
        <v>4</v>
      </c>
      <c r="P59" t="s">
        <v>276</v>
      </c>
      <c r="Q59" t="s">
        <v>301</v>
      </c>
      <c r="R59" s="3">
        <f t="shared" si="1"/>
        <v>2</v>
      </c>
      <c r="S59" t="s">
        <v>302</v>
      </c>
      <c r="T59" s="7">
        <v>46231</v>
      </c>
    </row>
    <row r="60" spans="1:20" ht="16" customHeight="1">
      <c r="A60" s="3">
        <v>59</v>
      </c>
      <c r="B60" s="3" t="s">
        <v>35</v>
      </c>
      <c r="C60" s="3" t="s">
        <v>42</v>
      </c>
      <c r="D60" s="3" t="s">
        <v>163</v>
      </c>
      <c r="E60" s="4" t="s">
        <v>133</v>
      </c>
      <c r="F60" s="3" t="s">
        <v>303</v>
      </c>
      <c r="G60" t="s">
        <v>273</v>
      </c>
      <c r="H60" s="18" t="s">
        <v>453</v>
      </c>
      <c r="I60" t="s">
        <v>274</v>
      </c>
      <c r="J60" s="18" t="s">
        <v>304</v>
      </c>
      <c r="K60">
        <v>5</v>
      </c>
      <c r="L60">
        <v>4</v>
      </c>
      <c r="M60">
        <v>3</v>
      </c>
      <c r="O60">
        <v>3</v>
      </c>
      <c r="P60" t="s">
        <v>281</v>
      </c>
      <c r="Q60" t="s">
        <v>305</v>
      </c>
      <c r="R60" s="3">
        <f t="shared" si="1"/>
        <v>3.75</v>
      </c>
      <c r="S60" t="s">
        <v>306</v>
      </c>
      <c r="T60" s="7">
        <v>46231</v>
      </c>
    </row>
    <row r="61" spans="1:20" ht="16" customHeight="1">
      <c r="A61" s="3">
        <v>60</v>
      </c>
      <c r="B61" s="3" t="s">
        <v>35</v>
      </c>
      <c r="C61" s="3" t="s">
        <v>42</v>
      </c>
      <c r="D61" s="3" t="s">
        <v>58</v>
      </c>
      <c r="E61" s="4" t="s">
        <v>133</v>
      </c>
      <c r="F61" s="3" t="s">
        <v>166</v>
      </c>
      <c r="G61" t="s">
        <v>273</v>
      </c>
      <c r="H61" s="18" t="s">
        <v>453</v>
      </c>
      <c r="I61" t="s">
        <v>274</v>
      </c>
      <c r="J61" s="18" t="s">
        <v>307</v>
      </c>
      <c r="K61">
        <v>5</v>
      </c>
      <c r="L61">
        <v>3</v>
      </c>
      <c r="M61">
        <v>2</v>
      </c>
      <c r="O61">
        <v>4</v>
      </c>
      <c r="P61" t="s">
        <v>276</v>
      </c>
      <c r="Q61" t="s">
        <v>308</v>
      </c>
      <c r="R61" s="3">
        <f t="shared" si="1"/>
        <v>2</v>
      </c>
      <c r="S61" t="s">
        <v>309</v>
      </c>
      <c r="T61" s="7">
        <v>46231</v>
      </c>
    </row>
    <row r="62" spans="1:20" ht="16" customHeight="1">
      <c r="A62" s="3">
        <v>61</v>
      </c>
      <c r="B62" s="3" t="s">
        <v>9</v>
      </c>
      <c r="C62" s="3" t="s">
        <v>10</v>
      </c>
      <c r="D62" s="3" t="s">
        <v>150</v>
      </c>
      <c r="E62" s="4" t="s">
        <v>168</v>
      </c>
      <c r="F62" s="3" t="s">
        <v>169</v>
      </c>
      <c r="G62" t="s">
        <v>273</v>
      </c>
      <c r="H62" s="18" t="s">
        <v>453</v>
      </c>
      <c r="I62" t="s">
        <v>279</v>
      </c>
      <c r="J62" s="18" t="s">
        <v>310</v>
      </c>
      <c r="K62">
        <v>4</v>
      </c>
      <c r="L62">
        <v>4</v>
      </c>
      <c r="M62">
        <v>3</v>
      </c>
      <c r="N62">
        <v>2</v>
      </c>
      <c r="O62">
        <v>5</v>
      </c>
      <c r="P62" t="s">
        <v>281</v>
      </c>
      <c r="Q62" t="s">
        <v>311</v>
      </c>
      <c r="R62" s="3">
        <f t="shared" si="1"/>
        <v>3.35</v>
      </c>
      <c r="S62" t="s">
        <v>312</v>
      </c>
      <c r="T62" s="7">
        <v>46231</v>
      </c>
    </row>
    <row r="63" spans="1:20" ht="16" customHeight="1">
      <c r="A63" s="3">
        <v>62</v>
      </c>
      <c r="B63" s="3" t="s">
        <v>9</v>
      </c>
      <c r="C63" s="3" t="s">
        <v>10</v>
      </c>
      <c r="D63" s="3" t="s">
        <v>11</v>
      </c>
      <c r="E63" s="4" t="s">
        <v>168</v>
      </c>
      <c r="F63" s="3" t="s">
        <v>173</v>
      </c>
      <c r="G63" t="s">
        <v>273</v>
      </c>
      <c r="H63" s="18" t="s">
        <v>453</v>
      </c>
      <c r="I63" t="s">
        <v>279</v>
      </c>
      <c r="J63" s="18" t="s">
        <v>313</v>
      </c>
      <c r="K63">
        <v>4</v>
      </c>
      <c r="L63">
        <v>4</v>
      </c>
      <c r="M63">
        <v>4</v>
      </c>
      <c r="N63">
        <v>3</v>
      </c>
      <c r="O63">
        <v>5</v>
      </c>
      <c r="P63" t="s">
        <v>281</v>
      </c>
      <c r="Q63" t="s">
        <v>314</v>
      </c>
      <c r="R63" s="3">
        <f t="shared" si="1"/>
        <v>3.85</v>
      </c>
      <c r="S63" t="s">
        <v>315</v>
      </c>
      <c r="T63" s="7">
        <v>46231</v>
      </c>
    </row>
    <row r="64" spans="1:20" ht="16" customHeight="1">
      <c r="A64" s="3">
        <v>63</v>
      </c>
      <c r="B64" s="3" t="s">
        <v>9</v>
      </c>
      <c r="C64" s="3" t="s">
        <v>10</v>
      </c>
      <c r="D64" s="3" t="s">
        <v>66</v>
      </c>
      <c r="E64" s="4" t="s">
        <v>168</v>
      </c>
      <c r="F64" s="3" t="s">
        <v>175</v>
      </c>
      <c r="G64" t="s">
        <v>273</v>
      </c>
      <c r="H64" s="18" t="s">
        <v>453</v>
      </c>
      <c r="I64" t="s">
        <v>279</v>
      </c>
      <c r="J64" s="18" t="s">
        <v>316</v>
      </c>
      <c r="K64">
        <v>4</v>
      </c>
      <c r="L64">
        <v>4</v>
      </c>
      <c r="M64">
        <v>4</v>
      </c>
      <c r="N64">
        <v>4</v>
      </c>
      <c r="O64">
        <v>5</v>
      </c>
      <c r="P64" t="s">
        <v>281</v>
      </c>
      <c r="Q64" t="s">
        <v>297</v>
      </c>
      <c r="R64" s="3">
        <f t="shared" si="1"/>
        <v>4.0999999999999996</v>
      </c>
      <c r="S64" t="s">
        <v>317</v>
      </c>
      <c r="T64" s="7">
        <v>46231</v>
      </c>
    </row>
    <row r="65" spans="1:20" ht="16" customHeight="1">
      <c r="A65" s="3">
        <v>64</v>
      </c>
      <c r="B65" s="3" t="s">
        <v>9</v>
      </c>
      <c r="C65" s="3" t="s">
        <v>10</v>
      </c>
      <c r="D65" s="3" t="s">
        <v>23</v>
      </c>
      <c r="E65" s="4" t="s">
        <v>168</v>
      </c>
      <c r="F65" s="3" t="s">
        <v>177</v>
      </c>
      <c r="G65" t="s">
        <v>273</v>
      </c>
      <c r="H65" s="18" t="s">
        <v>453</v>
      </c>
      <c r="I65" t="s">
        <v>279</v>
      </c>
      <c r="J65" s="18" t="s">
        <v>318</v>
      </c>
      <c r="K65">
        <v>5</v>
      </c>
      <c r="L65">
        <v>5</v>
      </c>
      <c r="M65">
        <v>3</v>
      </c>
      <c r="N65">
        <v>4</v>
      </c>
      <c r="O65">
        <v>4</v>
      </c>
      <c r="P65" t="s">
        <v>276</v>
      </c>
      <c r="Q65" t="s">
        <v>319</v>
      </c>
      <c r="R65" s="3">
        <f t="shared" si="1"/>
        <v>2</v>
      </c>
      <c r="S65" t="s">
        <v>320</v>
      </c>
      <c r="T65" s="7">
        <v>46231</v>
      </c>
    </row>
    <row r="66" spans="1:20" ht="16" customHeight="1">
      <c r="A66" s="3">
        <v>65</v>
      </c>
      <c r="B66" s="3" t="s">
        <v>9</v>
      </c>
      <c r="C66" s="3" t="s">
        <v>10</v>
      </c>
      <c r="D66" s="3" t="s">
        <v>20</v>
      </c>
      <c r="E66" s="4" t="s">
        <v>168</v>
      </c>
      <c r="F66" s="3" t="s">
        <v>179</v>
      </c>
      <c r="G66" t="s">
        <v>273</v>
      </c>
      <c r="H66" s="18" t="s">
        <v>453</v>
      </c>
      <c r="I66" t="s">
        <v>279</v>
      </c>
      <c r="J66" s="18" t="s">
        <v>321</v>
      </c>
      <c r="K66">
        <v>4</v>
      </c>
      <c r="L66">
        <v>3</v>
      </c>
      <c r="M66">
        <v>2</v>
      </c>
      <c r="N66">
        <v>2</v>
      </c>
      <c r="O66">
        <v>4</v>
      </c>
      <c r="P66" t="s">
        <v>276</v>
      </c>
      <c r="Q66" t="s">
        <v>322</v>
      </c>
      <c r="R66" s="3">
        <f t="shared" ref="R66:R101" si="2">IF(A66="","",IF(OR(E66="Маршрут на один день",E66="Планирование поездки на несколько дней"),IF(COUNT(K66:O66)&lt;5,"",MIN(K66*0.2+L66*0.2+M66*0.25+N66*0.25+O66*0.1,IF(P66="Да",2,5))),IF(COUNT(K66:M66)+COUNT(O66)&lt;4,"",MIN(K66*0.25+L66*0.25+M66*0.35+O66*0.15,IF(P66="Да",2,5)))))</f>
        <v>2</v>
      </c>
      <c r="S66" t="s">
        <v>323</v>
      </c>
      <c r="T66" s="7">
        <v>46231</v>
      </c>
    </row>
    <row r="67" spans="1:20" ht="16" customHeight="1">
      <c r="A67" s="3">
        <v>66</v>
      </c>
      <c r="B67" s="3" t="s">
        <v>9</v>
      </c>
      <c r="C67" s="3" t="s">
        <v>10</v>
      </c>
      <c r="D67" s="3" t="s">
        <v>26</v>
      </c>
      <c r="E67" s="4" t="s">
        <v>168</v>
      </c>
      <c r="F67" s="3" t="s">
        <v>181</v>
      </c>
      <c r="G67" t="s">
        <v>273</v>
      </c>
      <c r="H67" s="18" t="s">
        <v>453</v>
      </c>
      <c r="I67" t="s">
        <v>279</v>
      </c>
      <c r="J67" s="18" t="s">
        <v>324</v>
      </c>
      <c r="K67">
        <v>4</v>
      </c>
      <c r="L67">
        <v>4</v>
      </c>
      <c r="M67">
        <v>3</v>
      </c>
      <c r="N67">
        <v>4</v>
      </c>
      <c r="O67">
        <v>5</v>
      </c>
      <c r="P67" t="s">
        <v>276</v>
      </c>
      <c r="Q67" t="s">
        <v>301</v>
      </c>
      <c r="R67" s="3">
        <f t="shared" si="2"/>
        <v>2</v>
      </c>
      <c r="S67" t="s">
        <v>325</v>
      </c>
      <c r="T67" s="7">
        <v>46231</v>
      </c>
    </row>
    <row r="68" spans="1:20" ht="16" customHeight="1">
      <c r="A68" s="3">
        <v>67</v>
      </c>
      <c r="B68" s="3" t="s">
        <v>9</v>
      </c>
      <c r="C68" s="3" t="s">
        <v>10</v>
      </c>
      <c r="D68" s="3" t="s">
        <v>17</v>
      </c>
      <c r="E68" s="4" t="s">
        <v>168</v>
      </c>
      <c r="F68" s="3" t="s">
        <v>183</v>
      </c>
      <c r="G68" t="s">
        <v>273</v>
      </c>
      <c r="H68" s="18" t="s">
        <v>453</v>
      </c>
      <c r="I68" t="s">
        <v>279</v>
      </c>
      <c r="J68" s="18" t="s">
        <v>326</v>
      </c>
      <c r="K68">
        <v>5</v>
      </c>
      <c r="L68">
        <v>5</v>
      </c>
      <c r="M68">
        <v>3</v>
      </c>
      <c r="N68">
        <v>4</v>
      </c>
      <c r="O68">
        <v>5</v>
      </c>
      <c r="P68" t="s">
        <v>276</v>
      </c>
      <c r="Q68" t="s">
        <v>319</v>
      </c>
      <c r="R68" s="3">
        <f t="shared" si="2"/>
        <v>2</v>
      </c>
      <c r="S68" t="s">
        <v>327</v>
      </c>
      <c r="T68" s="7">
        <v>46231</v>
      </c>
    </row>
    <row r="69" spans="1:20" ht="16" customHeight="1">
      <c r="A69" s="3">
        <v>68</v>
      </c>
      <c r="B69" s="3" t="s">
        <v>9</v>
      </c>
      <c r="C69" s="3" t="s">
        <v>10</v>
      </c>
      <c r="D69" s="3" t="s">
        <v>39</v>
      </c>
      <c r="E69" s="4" t="s">
        <v>168</v>
      </c>
      <c r="F69" s="3" t="s">
        <v>185</v>
      </c>
      <c r="G69" t="s">
        <v>273</v>
      </c>
      <c r="H69" s="18" t="s">
        <v>453</v>
      </c>
      <c r="I69" t="s">
        <v>279</v>
      </c>
      <c r="J69" s="18" t="s">
        <v>328</v>
      </c>
      <c r="K69">
        <v>3</v>
      </c>
      <c r="L69">
        <v>4</v>
      </c>
      <c r="M69">
        <v>3</v>
      </c>
      <c r="N69">
        <v>3</v>
      </c>
      <c r="O69">
        <v>4</v>
      </c>
      <c r="P69" t="s">
        <v>281</v>
      </c>
      <c r="Q69" t="s">
        <v>314</v>
      </c>
      <c r="R69" s="3">
        <f t="shared" si="2"/>
        <v>3.3000000000000003</v>
      </c>
      <c r="S69" t="s">
        <v>329</v>
      </c>
      <c r="T69" s="7">
        <v>46231</v>
      </c>
    </row>
    <row r="70" spans="1:20" ht="16" customHeight="1">
      <c r="A70" s="3">
        <v>69</v>
      </c>
      <c r="B70" s="3" t="s">
        <v>9</v>
      </c>
      <c r="C70" s="3" t="s">
        <v>10</v>
      </c>
      <c r="D70" s="3" t="s">
        <v>73</v>
      </c>
      <c r="E70" s="4" t="s">
        <v>168</v>
      </c>
      <c r="F70" s="3" t="s">
        <v>187</v>
      </c>
      <c r="G70" t="s">
        <v>273</v>
      </c>
      <c r="H70" s="18" t="s">
        <v>453</v>
      </c>
      <c r="I70" t="s">
        <v>279</v>
      </c>
      <c r="J70" s="18" t="s">
        <v>330</v>
      </c>
      <c r="K70">
        <v>5</v>
      </c>
      <c r="L70">
        <v>4</v>
      </c>
      <c r="M70">
        <v>2</v>
      </c>
      <c r="N70">
        <v>3</v>
      </c>
      <c r="O70">
        <v>4</v>
      </c>
      <c r="P70" t="s">
        <v>276</v>
      </c>
      <c r="Q70" t="s">
        <v>331</v>
      </c>
      <c r="R70" s="3">
        <f t="shared" si="2"/>
        <v>2</v>
      </c>
      <c r="S70" t="s">
        <v>332</v>
      </c>
      <c r="T70" s="7">
        <v>46231</v>
      </c>
    </row>
    <row r="71" spans="1:20" ht="16" customHeight="1">
      <c r="A71" s="3">
        <v>70</v>
      </c>
      <c r="B71" s="3" t="s">
        <v>35</v>
      </c>
      <c r="C71" s="3" t="s">
        <v>10</v>
      </c>
      <c r="D71" s="3" t="s">
        <v>81</v>
      </c>
      <c r="E71" s="4" t="s">
        <v>168</v>
      </c>
      <c r="F71" s="3" t="s">
        <v>189</v>
      </c>
      <c r="G71" t="s">
        <v>273</v>
      </c>
      <c r="H71" s="18" t="s">
        <v>453</v>
      </c>
      <c r="I71" t="s">
        <v>279</v>
      </c>
      <c r="J71" s="18" t="s">
        <v>333</v>
      </c>
      <c r="K71">
        <v>5</v>
      </c>
      <c r="L71">
        <v>5</v>
      </c>
      <c r="M71">
        <v>3</v>
      </c>
      <c r="N71">
        <v>4</v>
      </c>
      <c r="O71">
        <v>4</v>
      </c>
      <c r="P71" t="s">
        <v>276</v>
      </c>
      <c r="Q71" t="s">
        <v>334</v>
      </c>
      <c r="R71" s="3">
        <f t="shared" si="2"/>
        <v>2</v>
      </c>
      <c r="S71" t="s">
        <v>335</v>
      </c>
      <c r="T71" s="7">
        <v>46231</v>
      </c>
    </row>
    <row r="72" spans="1:20" ht="16" customHeight="1">
      <c r="A72" s="3">
        <v>71</v>
      </c>
      <c r="B72" s="3" t="s">
        <v>35</v>
      </c>
      <c r="C72" s="3" t="s">
        <v>10</v>
      </c>
      <c r="D72" s="3" t="s">
        <v>32</v>
      </c>
      <c r="E72" s="4" t="s">
        <v>168</v>
      </c>
      <c r="F72" s="3" t="s">
        <v>191</v>
      </c>
      <c r="G72" t="s">
        <v>273</v>
      </c>
      <c r="H72" s="18" t="s">
        <v>453</v>
      </c>
      <c r="I72" t="s">
        <v>279</v>
      </c>
      <c r="J72" s="18" t="s">
        <v>336</v>
      </c>
      <c r="K72">
        <v>5</v>
      </c>
      <c r="L72">
        <v>4</v>
      </c>
      <c r="M72">
        <v>2</v>
      </c>
      <c r="N72">
        <v>3</v>
      </c>
      <c r="O72">
        <v>5</v>
      </c>
      <c r="P72" t="s">
        <v>276</v>
      </c>
      <c r="Q72" t="s">
        <v>337</v>
      </c>
      <c r="R72" s="3">
        <f t="shared" si="2"/>
        <v>2</v>
      </c>
      <c r="S72" t="s">
        <v>338</v>
      </c>
      <c r="T72" s="7">
        <v>46231</v>
      </c>
    </row>
    <row r="73" spans="1:20" ht="16" customHeight="1">
      <c r="A73" s="3">
        <v>72</v>
      </c>
      <c r="B73" s="3" t="s">
        <v>35</v>
      </c>
      <c r="C73" s="3" t="s">
        <v>10</v>
      </c>
      <c r="D73" s="3" t="s">
        <v>29</v>
      </c>
      <c r="E73" s="4" t="s">
        <v>168</v>
      </c>
      <c r="F73" s="3" t="s">
        <v>193</v>
      </c>
      <c r="G73" t="s">
        <v>273</v>
      </c>
      <c r="H73" s="18" t="s">
        <v>453</v>
      </c>
      <c r="I73" t="s">
        <v>279</v>
      </c>
      <c r="J73" s="18" t="s">
        <v>339</v>
      </c>
      <c r="K73">
        <v>3</v>
      </c>
      <c r="L73">
        <v>4</v>
      </c>
      <c r="M73">
        <v>2</v>
      </c>
      <c r="N73">
        <v>3</v>
      </c>
      <c r="O73">
        <v>4</v>
      </c>
      <c r="P73" t="s">
        <v>276</v>
      </c>
      <c r="Q73" t="s">
        <v>340</v>
      </c>
      <c r="R73" s="3">
        <f t="shared" si="2"/>
        <v>2</v>
      </c>
      <c r="S73" t="s">
        <v>341</v>
      </c>
      <c r="T73" s="7">
        <v>46231</v>
      </c>
    </row>
    <row r="74" spans="1:20" ht="16" customHeight="1">
      <c r="A74" s="3">
        <v>73</v>
      </c>
      <c r="B74" s="3" t="s">
        <v>9</v>
      </c>
      <c r="C74" s="3" t="s">
        <v>42</v>
      </c>
      <c r="D74" s="3" t="s">
        <v>46</v>
      </c>
      <c r="E74" s="4" t="s">
        <v>168</v>
      </c>
      <c r="F74" s="3" t="s">
        <v>195</v>
      </c>
      <c r="G74" t="s">
        <v>273</v>
      </c>
      <c r="H74" s="18" t="s">
        <v>453</v>
      </c>
      <c r="I74" t="s">
        <v>279</v>
      </c>
      <c r="J74" s="18" t="s">
        <v>342</v>
      </c>
      <c r="K74">
        <v>5</v>
      </c>
      <c r="L74">
        <v>5</v>
      </c>
      <c r="M74">
        <v>4</v>
      </c>
      <c r="N74">
        <v>5</v>
      </c>
      <c r="O74">
        <v>5</v>
      </c>
      <c r="P74" t="s">
        <v>281</v>
      </c>
      <c r="Q74" t="s">
        <v>343</v>
      </c>
      <c r="R74" s="3">
        <f t="shared" si="2"/>
        <v>4.75</v>
      </c>
      <c r="S74" t="s">
        <v>344</v>
      </c>
      <c r="T74" s="7">
        <v>46231</v>
      </c>
    </row>
    <row r="75" spans="1:20" ht="16" customHeight="1">
      <c r="A75" s="3">
        <v>74</v>
      </c>
      <c r="B75" s="3" t="s">
        <v>9</v>
      </c>
      <c r="C75" s="3" t="s">
        <v>42</v>
      </c>
      <c r="D75" s="3" t="s">
        <v>52</v>
      </c>
      <c r="E75" s="4" t="s">
        <v>168</v>
      </c>
      <c r="F75" s="3" t="s">
        <v>197</v>
      </c>
      <c r="G75" t="s">
        <v>273</v>
      </c>
      <c r="H75" s="18" t="s">
        <v>453</v>
      </c>
      <c r="I75" t="s">
        <v>279</v>
      </c>
      <c r="J75" s="18" t="s">
        <v>345</v>
      </c>
      <c r="K75">
        <v>5</v>
      </c>
      <c r="L75">
        <v>5</v>
      </c>
      <c r="M75">
        <v>3</v>
      </c>
      <c r="N75">
        <v>3</v>
      </c>
      <c r="O75">
        <v>5</v>
      </c>
      <c r="P75" t="s">
        <v>281</v>
      </c>
      <c r="Q75" t="s">
        <v>346</v>
      </c>
      <c r="R75" s="3">
        <f t="shared" si="2"/>
        <v>4</v>
      </c>
      <c r="S75" t="s">
        <v>347</v>
      </c>
      <c r="T75" s="7">
        <v>46231</v>
      </c>
    </row>
    <row r="76" spans="1:20" ht="16" customHeight="1">
      <c r="A76" s="3">
        <v>75</v>
      </c>
      <c r="B76" s="3" t="s">
        <v>9</v>
      </c>
      <c r="C76" s="3" t="s">
        <v>42</v>
      </c>
      <c r="D76" s="3" t="s">
        <v>43</v>
      </c>
      <c r="E76" s="4" t="s">
        <v>168</v>
      </c>
      <c r="F76" s="3" t="s">
        <v>199</v>
      </c>
      <c r="G76" t="s">
        <v>273</v>
      </c>
      <c r="H76" s="18" t="s">
        <v>453</v>
      </c>
      <c r="I76" t="s">
        <v>279</v>
      </c>
      <c r="J76" s="18" t="s">
        <v>348</v>
      </c>
      <c r="K76">
        <v>5</v>
      </c>
      <c r="L76">
        <v>4</v>
      </c>
      <c r="M76">
        <v>2</v>
      </c>
      <c r="N76">
        <v>2</v>
      </c>
      <c r="O76">
        <v>5</v>
      </c>
      <c r="P76" t="s">
        <v>276</v>
      </c>
      <c r="Q76" t="s">
        <v>349</v>
      </c>
      <c r="R76" s="3">
        <f t="shared" si="2"/>
        <v>2</v>
      </c>
      <c r="S76" t="s">
        <v>350</v>
      </c>
      <c r="T76" s="7">
        <v>46231</v>
      </c>
    </row>
    <row r="77" spans="1:20" ht="16" customHeight="1">
      <c r="A77" s="3">
        <v>76</v>
      </c>
      <c r="B77" s="3" t="s">
        <v>9</v>
      </c>
      <c r="C77" s="3" t="s">
        <v>42</v>
      </c>
      <c r="D77" s="3" t="s">
        <v>49</v>
      </c>
      <c r="E77" s="4" t="s">
        <v>168</v>
      </c>
      <c r="F77" s="3" t="s">
        <v>201</v>
      </c>
      <c r="G77" t="s">
        <v>273</v>
      </c>
      <c r="H77" s="18" t="s">
        <v>453</v>
      </c>
      <c r="I77" t="s">
        <v>279</v>
      </c>
      <c r="J77" s="18" t="s">
        <v>351</v>
      </c>
      <c r="K77">
        <v>5</v>
      </c>
      <c r="L77">
        <v>5</v>
      </c>
      <c r="M77">
        <v>4</v>
      </c>
      <c r="N77">
        <v>5</v>
      </c>
      <c r="O77">
        <v>5</v>
      </c>
      <c r="P77" t="s">
        <v>281</v>
      </c>
      <c r="Q77" t="s">
        <v>343</v>
      </c>
      <c r="R77" s="3">
        <f t="shared" si="2"/>
        <v>4.75</v>
      </c>
      <c r="S77" t="s">
        <v>352</v>
      </c>
      <c r="T77" s="7">
        <v>46231</v>
      </c>
    </row>
    <row r="78" spans="1:20" ht="16" customHeight="1">
      <c r="A78" s="3">
        <v>77</v>
      </c>
      <c r="B78" s="3" t="s">
        <v>9</v>
      </c>
      <c r="C78" s="3" t="s">
        <v>42</v>
      </c>
      <c r="D78" s="3" t="s">
        <v>203</v>
      </c>
      <c r="E78" s="4" t="s">
        <v>168</v>
      </c>
      <c r="F78" s="3" t="s">
        <v>204</v>
      </c>
      <c r="G78" t="s">
        <v>273</v>
      </c>
      <c r="H78" s="18" t="s">
        <v>453</v>
      </c>
      <c r="I78" t="s">
        <v>279</v>
      </c>
      <c r="J78" s="18" t="s">
        <v>353</v>
      </c>
      <c r="K78">
        <v>5</v>
      </c>
      <c r="L78">
        <v>4</v>
      </c>
      <c r="M78">
        <v>2</v>
      </c>
      <c r="N78">
        <v>3</v>
      </c>
      <c r="O78">
        <v>5</v>
      </c>
      <c r="P78" t="s">
        <v>276</v>
      </c>
      <c r="Q78" t="s">
        <v>288</v>
      </c>
      <c r="R78" s="3">
        <f t="shared" si="2"/>
        <v>2</v>
      </c>
      <c r="S78" t="s">
        <v>354</v>
      </c>
      <c r="T78" s="7">
        <v>46231</v>
      </c>
    </row>
    <row r="79" spans="1:20" ht="16" customHeight="1">
      <c r="A79" s="3">
        <v>78</v>
      </c>
      <c r="B79" s="3" t="s">
        <v>35</v>
      </c>
      <c r="C79" s="3" t="s">
        <v>42</v>
      </c>
      <c r="D79" s="3" t="s">
        <v>55</v>
      </c>
      <c r="E79" s="4" t="s">
        <v>168</v>
      </c>
      <c r="F79" s="3" t="s">
        <v>206</v>
      </c>
      <c r="G79" t="s">
        <v>273</v>
      </c>
      <c r="H79" s="18" t="s">
        <v>453</v>
      </c>
      <c r="I79" t="s">
        <v>279</v>
      </c>
      <c r="J79" s="18" t="s">
        <v>355</v>
      </c>
      <c r="K79">
        <v>5</v>
      </c>
      <c r="L79">
        <v>5</v>
      </c>
      <c r="M79">
        <v>3</v>
      </c>
      <c r="N79">
        <v>4</v>
      </c>
      <c r="O79">
        <v>5</v>
      </c>
      <c r="P79" t="s">
        <v>281</v>
      </c>
      <c r="Q79" t="s">
        <v>331</v>
      </c>
      <c r="R79" s="3">
        <f t="shared" si="2"/>
        <v>4.25</v>
      </c>
      <c r="S79" t="s">
        <v>356</v>
      </c>
      <c r="T79" s="7">
        <v>46231</v>
      </c>
    </row>
    <row r="80" spans="1:20" ht="16" customHeight="1">
      <c r="A80" s="3">
        <v>79</v>
      </c>
      <c r="B80" s="3" t="s">
        <v>35</v>
      </c>
      <c r="C80" s="3" t="s">
        <v>42</v>
      </c>
      <c r="D80" s="3" t="s">
        <v>86</v>
      </c>
      <c r="E80" s="4" t="s">
        <v>168</v>
      </c>
      <c r="F80" s="3" t="s">
        <v>208</v>
      </c>
      <c r="G80" t="s">
        <v>273</v>
      </c>
      <c r="H80" s="18" t="s">
        <v>453</v>
      </c>
      <c r="I80" t="s">
        <v>357</v>
      </c>
      <c r="J80" s="18" t="s">
        <v>358</v>
      </c>
      <c r="K80">
        <v>5</v>
      </c>
      <c r="L80">
        <v>4</v>
      </c>
      <c r="M80">
        <v>2</v>
      </c>
      <c r="N80">
        <v>2</v>
      </c>
      <c r="O80">
        <v>4</v>
      </c>
      <c r="P80" t="s">
        <v>276</v>
      </c>
      <c r="Q80" t="s">
        <v>359</v>
      </c>
      <c r="R80" s="3">
        <f t="shared" si="2"/>
        <v>2</v>
      </c>
      <c r="S80" t="s">
        <v>360</v>
      </c>
      <c r="T80" s="7">
        <v>46231</v>
      </c>
    </row>
    <row r="81" spans="1:20" ht="16" customHeight="1">
      <c r="A81" s="3">
        <v>80</v>
      </c>
      <c r="B81" s="3" t="s">
        <v>35</v>
      </c>
      <c r="C81" s="3" t="s">
        <v>42</v>
      </c>
      <c r="D81" s="3" t="s">
        <v>130</v>
      </c>
      <c r="E81" s="4" t="s">
        <v>168</v>
      </c>
      <c r="F81" s="3" t="s">
        <v>210</v>
      </c>
      <c r="G81" t="s">
        <v>273</v>
      </c>
      <c r="H81" s="18" t="s">
        <v>453</v>
      </c>
      <c r="I81" t="s">
        <v>279</v>
      </c>
      <c r="J81" s="18" t="s">
        <v>361</v>
      </c>
      <c r="K81">
        <v>5</v>
      </c>
      <c r="L81">
        <v>5</v>
      </c>
      <c r="M81">
        <v>4</v>
      </c>
      <c r="N81">
        <v>4</v>
      </c>
      <c r="O81">
        <v>4</v>
      </c>
      <c r="P81" t="s">
        <v>281</v>
      </c>
      <c r="Q81" t="s">
        <v>346</v>
      </c>
      <c r="R81" s="3">
        <f t="shared" si="2"/>
        <v>4.4000000000000004</v>
      </c>
      <c r="S81" t="s">
        <v>362</v>
      </c>
      <c r="T81" s="7">
        <v>46231</v>
      </c>
    </row>
    <row r="82" spans="1:20" ht="32" customHeight="1">
      <c r="A82" s="3">
        <v>81</v>
      </c>
      <c r="B82" s="3" t="s">
        <v>9</v>
      </c>
      <c r="C82" s="3" t="s">
        <v>10</v>
      </c>
      <c r="D82" s="3" t="s">
        <v>73</v>
      </c>
      <c r="E82" s="4" t="s">
        <v>212</v>
      </c>
      <c r="F82" s="3" t="s">
        <v>213</v>
      </c>
      <c r="G82" t="s">
        <v>273</v>
      </c>
      <c r="H82" s="18" t="s">
        <v>453</v>
      </c>
      <c r="I82" t="s">
        <v>279</v>
      </c>
      <c r="J82" s="18" t="s">
        <v>363</v>
      </c>
      <c r="K82">
        <v>5</v>
      </c>
      <c r="L82">
        <v>5</v>
      </c>
      <c r="M82">
        <v>4</v>
      </c>
      <c r="N82">
        <v>4</v>
      </c>
      <c r="O82">
        <v>5</v>
      </c>
      <c r="P82" t="s">
        <v>281</v>
      </c>
      <c r="Q82" t="s">
        <v>364</v>
      </c>
      <c r="R82" s="3">
        <f t="shared" si="2"/>
        <v>4.5</v>
      </c>
      <c r="S82" t="s">
        <v>365</v>
      </c>
      <c r="T82" s="7">
        <v>46231</v>
      </c>
    </row>
    <row r="83" spans="1:20" ht="32" customHeight="1">
      <c r="A83" s="3">
        <v>82</v>
      </c>
      <c r="B83" s="3" t="s">
        <v>9</v>
      </c>
      <c r="C83" s="3" t="s">
        <v>10</v>
      </c>
      <c r="D83" s="3" t="s">
        <v>66</v>
      </c>
      <c r="E83" s="4" t="s">
        <v>212</v>
      </c>
      <c r="F83" s="3" t="s">
        <v>217</v>
      </c>
      <c r="G83" t="s">
        <v>273</v>
      </c>
      <c r="H83" s="18" t="s">
        <v>453</v>
      </c>
      <c r="I83" t="s">
        <v>279</v>
      </c>
      <c r="J83" s="18" t="s">
        <v>366</v>
      </c>
      <c r="K83">
        <v>4</v>
      </c>
      <c r="L83">
        <v>4</v>
      </c>
      <c r="M83">
        <v>2</v>
      </c>
      <c r="N83">
        <v>2</v>
      </c>
      <c r="O83">
        <v>5</v>
      </c>
      <c r="P83" t="s">
        <v>276</v>
      </c>
      <c r="Q83" t="s">
        <v>367</v>
      </c>
      <c r="R83" s="3">
        <f t="shared" si="2"/>
        <v>2</v>
      </c>
      <c r="S83" t="s">
        <v>368</v>
      </c>
      <c r="T83" s="7">
        <v>46231</v>
      </c>
    </row>
    <row r="84" spans="1:20" ht="36" customHeight="1">
      <c r="A84" s="3">
        <v>83</v>
      </c>
      <c r="B84" s="3" t="s">
        <v>9</v>
      </c>
      <c r="C84" s="3" t="s">
        <v>10</v>
      </c>
      <c r="D84" s="3" t="s">
        <v>11</v>
      </c>
      <c r="E84" s="4" t="s">
        <v>212</v>
      </c>
      <c r="F84" s="3" t="s">
        <v>219</v>
      </c>
      <c r="G84" t="s">
        <v>273</v>
      </c>
      <c r="H84" s="18" t="s">
        <v>453</v>
      </c>
      <c r="I84" t="s">
        <v>279</v>
      </c>
      <c r="J84" s="18" t="s">
        <v>369</v>
      </c>
      <c r="K84">
        <v>5</v>
      </c>
      <c r="L84">
        <v>5</v>
      </c>
      <c r="M84">
        <v>3</v>
      </c>
      <c r="N84">
        <v>4</v>
      </c>
      <c r="O84">
        <v>5</v>
      </c>
      <c r="P84" t="s">
        <v>281</v>
      </c>
      <c r="Q84" t="s">
        <v>319</v>
      </c>
      <c r="R84" s="3">
        <f t="shared" si="2"/>
        <v>4.25</v>
      </c>
      <c r="S84" t="s">
        <v>370</v>
      </c>
      <c r="T84" s="7">
        <v>46231</v>
      </c>
    </row>
    <row r="85" spans="1:20" ht="39" customHeight="1">
      <c r="A85" s="3">
        <v>84</v>
      </c>
      <c r="B85" s="3" t="s">
        <v>9</v>
      </c>
      <c r="C85" s="3" t="s">
        <v>10</v>
      </c>
      <c r="D85" s="3" t="s">
        <v>23</v>
      </c>
      <c r="E85" s="4" t="s">
        <v>212</v>
      </c>
      <c r="F85" s="3" t="s">
        <v>221</v>
      </c>
      <c r="G85" t="s">
        <v>273</v>
      </c>
      <c r="H85" s="18" t="s">
        <v>453</v>
      </c>
      <c r="I85" t="s">
        <v>279</v>
      </c>
      <c r="J85" s="18" t="s">
        <v>371</v>
      </c>
      <c r="K85">
        <v>5</v>
      </c>
      <c r="L85">
        <v>5</v>
      </c>
      <c r="M85">
        <v>5</v>
      </c>
      <c r="N85">
        <v>5</v>
      </c>
      <c r="O85">
        <v>5</v>
      </c>
      <c r="P85" t="s">
        <v>281</v>
      </c>
      <c r="Q85" t="s">
        <v>372</v>
      </c>
      <c r="R85" s="3">
        <f t="shared" si="2"/>
        <v>5</v>
      </c>
      <c r="S85" t="s">
        <v>373</v>
      </c>
      <c r="T85" s="7">
        <v>46231</v>
      </c>
    </row>
    <row r="86" spans="1:20" ht="32" customHeight="1">
      <c r="A86" s="3">
        <v>85</v>
      </c>
      <c r="B86" s="3" t="s">
        <v>9</v>
      </c>
      <c r="C86" s="3" t="s">
        <v>10</v>
      </c>
      <c r="D86" s="3" t="s">
        <v>39</v>
      </c>
      <c r="E86" s="4" t="s">
        <v>212</v>
      </c>
      <c r="F86" s="3" t="s">
        <v>223</v>
      </c>
      <c r="G86" t="s">
        <v>273</v>
      </c>
      <c r="H86" s="18" t="s">
        <v>453</v>
      </c>
      <c r="I86" t="s">
        <v>279</v>
      </c>
      <c r="J86" s="18" t="s">
        <v>374</v>
      </c>
      <c r="K86">
        <v>4</v>
      </c>
      <c r="L86">
        <v>3</v>
      </c>
      <c r="M86">
        <v>2</v>
      </c>
      <c r="N86">
        <v>3</v>
      </c>
      <c r="O86">
        <v>4</v>
      </c>
      <c r="P86" t="s">
        <v>276</v>
      </c>
      <c r="Q86" t="s">
        <v>375</v>
      </c>
      <c r="R86" s="3">
        <f t="shared" si="2"/>
        <v>2</v>
      </c>
      <c r="S86" t="s">
        <v>376</v>
      </c>
      <c r="T86" s="7">
        <v>46231</v>
      </c>
    </row>
    <row r="87" spans="1:20" ht="32" customHeight="1">
      <c r="A87" s="3">
        <v>86</v>
      </c>
      <c r="B87" s="3" t="s">
        <v>9</v>
      </c>
      <c r="C87" s="3" t="s">
        <v>10</v>
      </c>
      <c r="D87" s="3" t="s">
        <v>26</v>
      </c>
      <c r="E87" s="4" t="s">
        <v>212</v>
      </c>
      <c r="F87" s="3" t="s">
        <v>225</v>
      </c>
      <c r="G87" t="s">
        <v>273</v>
      </c>
      <c r="H87" s="18" t="s">
        <v>453</v>
      </c>
      <c r="I87" t="s">
        <v>279</v>
      </c>
      <c r="J87" s="18" t="s">
        <v>377</v>
      </c>
      <c r="K87">
        <v>5</v>
      </c>
      <c r="L87">
        <v>5</v>
      </c>
      <c r="M87">
        <v>2</v>
      </c>
      <c r="N87">
        <v>4</v>
      </c>
      <c r="O87">
        <v>3</v>
      </c>
      <c r="P87" t="s">
        <v>276</v>
      </c>
      <c r="Q87" t="s">
        <v>378</v>
      </c>
      <c r="R87" s="3">
        <f t="shared" si="2"/>
        <v>2</v>
      </c>
      <c r="S87" t="s">
        <v>379</v>
      </c>
      <c r="T87" s="7">
        <v>46231</v>
      </c>
    </row>
    <row r="88" spans="1:20" ht="32" customHeight="1">
      <c r="A88" s="3">
        <v>87</v>
      </c>
      <c r="B88" s="3" t="s">
        <v>35</v>
      </c>
      <c r="C88" s="3" t="s">
        <v>10</v>
      </c>
      <c r="D88" s="3" t="s">
        <v>150</v>
      </c>
      <c r="E88" s="4" t="s">
        <v>212</v>
      </c>
      <c r="F88" s="3" t="s">
        <v>227</v>
      </c>
      <c r="G88" t="s">
        <v>273</v>
      </c>
      <c r="H88" s="18" t="s">
        <v>453</v>
      </c>
      <c r="I88" t="s">
        <v>279</v>
      </c>
      <c r="J88" s="18" t="s">
        <v>380</v>
      </c>
      <c r="K88">
        <v>5</v>
      </c>
      <c r="L88">
        <v>4</v>
      </c>
      <c r="M88">
        <v>2</v>
      </c>
      <c r="N88">
        <v>3</v>
      </c>
      <c r="O88">
        <v>3</v>
      </c>
      <c r="P88" t="s">
        <v>276</v>
      </c>
      <c r="Q88" t="s">
        <v>381</v>
      </c>
      <c r="R88" s="3">
        <f t="shared" si="2"/>
        <v>2</v>
      </c>
      <c r="S88" t="s">
        <v>382</v>
      </c>
      <c r="T88" s="7">
        <v>46231</v>
      </c>
    </row>
    <row r="89" spans="1:20" ht="32" customHeight="1">
      <c r="A89" s="3">
        <v>88</v>
      </c>
      <c r="B89" s="3" t="s">
        <v>35</v>
      </c>
      <c r="C89" s="3" t="s">
        <v>10</v>
      </c>
      <c r="D89" s="3" t="s">
        <v>20</v>
      </c>
      <c r="E89" s="4" t="s">
        <v>212</v>
      </c>
      <c r="F89" s="3" t="s">
        <v>229</v>
      </c>
      <c r="G89" t="s">
        <v>273</v>
      </c>
      <c r="H89" s="18" t="s">
        <v>453</v>
      </c>
      <c r="I89" t="s">
        <v>279</v>
      </c>
      <c r="J89" s="18" t="s">
        <v>383</v>
      </c>
      <c r="K89">
        <v>3</v>
      </c>
      <c r="L89">
        <v>4</v>
      </c>
      <c r="M89">
        <v>2</v>
      </c>
      <c r="N89">
        <v>2</v>
      </c>
      <c r="O89">
        <v>4</v>
      </c>
      <c r="P89" t="s">
        <v>276</v>
      </c>
      <c r="Q89" t="s">
        <v>340</v>
      </c>
      <c r="R89" s="3">
        <f t="shared" si="2"/>
        <v>2</v>
      </c>
      <c r="S89" t="s">
        <v>384</v>
      </c>
      <c r="T89" s="7">
        <v>46231</v>
      </c>
    </row>
    <row r="90" spans="1:20" ht="32" customHeight="1">
      <c r="A90" s="3">
        <v>89</v>
      </c>
      <c r="B90" s="3" t="s">
        <v>35</v>
      </c>
      <c r="C90" s="3" t="s">
        <v>10</v>
      </c>
      <c r="D90" s="3" t="s">
        <v>17</v>
      </c>
      <c r="E90" s="4" t="s">
        <v>212</v>
      </c>
      <c r="F90" s="3" t="s">
        <v>231</v>
      </c>
      <c r="G90" t="s">
        <v>273</v>
      </c>
      <c r="H90" s="18" t="s">
        <v>453</v>
      </c>
      <c r="I90" t="s">
        <v>279</v>
      </c>
      <c r="J90" s="18" t="s">
        <v>385</v>
      </c>
      <c r="K90">
        <v>5</v>
      </c>
      <c r="L90">
        <v>5</v>
      </c>
      <c r="M90">
        <v>2</v>
      </c>
      <c r="N90">
        <v>3</v>
      </c>
      <c r="O90">
        <v>4</v>
      </c>
      <c r="P90" t="s">
        <v>276</v>
      </c>
      <c r="Q90" t="s">
        <v>367</v>
      </c>
      <c r="R90" s="3">
        <f t="shared" si="2"/>
        <v>2</v>
      </c>
      <c r="S90" t="s">
        <v>386</v>
      </c>
      <c r="T90" s="7">
        <v>46231</v>
      </c>
    </row>
    <row r="91" spans="1:20" ht="32" customHeight="1">
      <c r="A91" s="3">
        <v>90</v>
      </c>
      <c r="B91" s="3" t="s">
        <v>9</v>
      </c>
      <c r="C91" s="3" t="s">
        <v>42</v>
      </c>
      <c r="D91" s="3" t="s">
        <v>46</v>
      </c>
      <c r="E91" s="4" t="s">
        <v>212</v>
      </c>
      <c r="F91" s="3" t="s">
        <v>233</v>
      </c>
      <c r="G91" t="s">
        <v>273</v>
      </c>
      <c r="H91" s="18" t="s">
        <v>453</v>
      </c>
      <c r="I91" t="s">
        <v>279</v>
      </c>
      <c r="J91" s="18" t="s">
        <v>387</v>
      </c>
      <c r="K91">
        <v>5</v>
      </c>
      <c r="L91">
        <v>5</v>
      </c>
      <c r="M91">
        <v>3</v>
      </c>
      <c r="N91">
        <v>3</v>
      </c>
      <c r="O91">
        <v>5</v>
      </c>
      <c r="P91" t="s">
        <v>281</v>
      </c>
      <c r="Q91" t="s">
        <v>319</v>
      </c>
      <c r="R91" s="3">
        <f t="shared" si="2"/>
        <v>4</v>
      </c>
      <c r="S91" t="s">
        <v>388</v>
      </c>
      <c r="T91" s="7">
        <v>46231</v>
      </c>
    </row>
    <row r="92" spans="1:20" ht="32" customHeight="1">
      <c r="A92" s="3">
        <v>91</v>
      </c>
      <c r="B92" s="3" t="s">
        <v>9</v>
      </c>
      <c r="C92" s="3" t="s">
        <v>42</v>
      </c>
      <c r="D92" s="3" t="s">
        <v>52</v>
      </c>
      <c r="E92" s="4" t="s">
        <v>212</v>
      </c>
      <c r="F92" s="3" t="s">
        <v>235</v>
      </c>
      <c r="G92" t="s">
        <v>273</v>
      </c>
      <c r="H92" s="18" t="s">
        <v>453</v>
      </c>
      <c r="I92" t="s">
        <v>279</v>
      </c>
      <c r="J92" s="18" t="s">
        <v>389</v>
      </c>
      <c r="K92">
        <v>4</v>
      </c>
      <c r="L92">
        <v>5</v>
      </c>
      <c r="M92">
        <v>3</v>
      </c>
      <c r="N92">
        <v>3</v>
      </c>
      <c r="O92">
        <v>5</v>
      </c>
      <c r="P92" t="s">
        <v>281</v>
      </c>
      <c r="Q92" t="s">
        <v>390</v>
      </c>
      <c r="R92" s="3">
        <f t="shared" si="2"/>
        <v>3.8</v>
      </c>
      <c r="S92" t="s">
        <v>391</v>
      </c>
      <c r="T92" s="7">
        <v>46231</v>
      </c>
    </row>
    <row r="93" spans="1:20" ht="32" customHeight="1">
      <c r="A93" s="3">
        <v>92</v>
      </c>
      <c r="B93" s="3" t="s">
        <v>9</v>
      </c>
      <c r="C93" s="3" t="s">
        <v>42</v>
      </c>
      <c r="D93" s="3" t="s">
        <v>43</v>
      </c>
      <c r="E93" s="4" t="s">
        <v>212</v>
      </c>
      <c r="F93" s="3" t="s">
        <v>237</v>
      </c>
      <c r="G93" t="s">
        <v>273</v>
      </c>
      <c r="H93" s="18" t="s">
        <v>453</v>
      </c>
      <c r="I93" t="s">
        <v>279</v>
      </c>
      <c r="J93" s="18" t="s">
        <v>392</v>
      </c>
      <c r="K93">
        <v>5</v>
      </c>
      <c r="L93">
        <v>4</v>
      </c>
      <c r="M93">
        <v>2</v>
      </c>
      <c r="N93">
        <v>3</v>
      </c>
      <c r="O93">
        <v>4</v>
      </c>
      <c r="P93" t="s">
        <v>276</v>
      </c>
      <c r="Q93" t="s">
        <v>331</v>
      </c>
      <c r="R93" s="3">
        <f t="shared" si="2"/>
        <v>2</v>
      </c>
      <c r="S93" t="s">
        <v>393</v>
      </c>
      <c r="T93" s="7">
        <v>46231</v>
      </c>
    </row>
    <row r="94" spans="1:20" ht="32" customHeight="1">
      <c r="A94" s="3">
        <v>93</v>
      </c>
      <c r="B94" s="3" t="s">
        <v>9</v>
      </c>
      <c r="C94" s="3" t="s">
        <v>42</v>
      </c>
      <c r="D94" s="3" t="s">
        <v>49</v>
      </c>
      <c r="E94" s="4" t="s">
        <v>212</v>
      </c>
      <c r="F94" s="3" t="s">
        <v>239</v>
      </c>
      <c r="G94" t="s">
        <v>273</v>
      </c>
      <c r="H94" s="18" t="s">
        <v>453</v>
      </c>
      <c r="I94" t="s">
        <v>394</v>
      </c>
      <c r="J94" s="18" t="s">
        <v>395</v>
      </c>
      <c r="K94">
        <v>5</v>
      </c>
      <c r="L94">
        <v>4</v>
      </c>
      <c r="M94">
        <v>3</v>
      </c>
      <c r="N94">
        <v>3</v>
      </c>
      <c r="O94">
        <v>5</v>
      </c>
      <c r="P94" t="s">
        <v>281</v>
      </c>
      <c r="Q94" t="s">
        <v>396</v>
      </c>
      <c r="R94" s="3">
        <f t="shared" si="2"/>
        <v>3.8</v>
      </c>
      <c r="S94" t="s">
        <v>397</v>
      </c>
      <c r="T94" s="7">
        <v>46231</v>
      </c>
    </row>
    <row r="95" spans="1:20" ht="32" customHeight="1">
      <c r="A95" s="3">
        <v>94</v>
      </c>
      <c r="B95" s="3" t="s">
        <v>35</v>
      </c>
      <c r="C95" s="3" t="s">
        <v>42</v>
      </c>
      <c r="D95" s="3" t="s">
        <v>163</v>
      </c>
      <c r="E95" s="4" t="s">
        <v>212</v>
      </c>
      <c r="F95" s="3" t="s">
        <v>241</v>
      </c>
      <c r="G95" t="s">
        <v>273</v>
      </c>
      <c r="H95" s="18" t="s">
        <v>453</v>
      </c>
      <c r="I95" t="s">
        <v>279</v>
      </c>
      <c r="J95" s="18" t="s">
        <v>398</v>
      </c>
      <c r="K95">
        <v>5</v>
      </c>
      <c r="L95">
        <v>4</v>
      </c>
      <c r="M95">
        <v>3</v>
      </c>
      <c r="N95">
        <v>3</v>
      </c>
      <c r="O95">
        <v>5</v>
      </c>
      <c r="P95" t="s">
        <v>281</v>
      </c>
      <c r="Q95" t="s">
        <v>399</v>
      </c>
      <c r="R95" s="3">
        <f t="shared" si="2"/>
        <v>3.8</v>
      </c>
      <c r="S95" t="s">
        <v>400</v>
      </c>
      <c r="T95" s="7">
        <v>46231</v>
      </c>
    </row>
    <row r="96" spans="1:20" ht="32" customHeight="1">
      <c r="A96" s="3">
        <v>95</v>
      </c>
      <c r="B96" s="3" t="s">
        <v>35</v>
      </c>
      <c r="C96" s="3" t="s">
        <v>42</v>
      </c>
      <c r="D96" s="3" t="s">
        <v>58</v>
      </c>
      <c r="E96" s="4" t="s">
        <v>212</v>
      </c>
      <c r="F96" s="3" t="s">
        <v>243</v>
      </c>
      <c r="G96" t="s">
        <v>273</v>
      </c>
      <c r="H96" s="18" t="s">
        <v>453</v>
      </c>
      <c r="I96" t="s">
        <v>401</v>
      </c>
      <c r="J96" s="18" t="s">
        <v>272</v>
      </c>
      <c r="K96">
        <v>1</v>
      </c>
      <c r="L96">
        <v>1</v>
      </c>
      <c r="M96">
        <v>1</v>
      </c>
      <c r="N96">
        <v>1</v>
      </c>
      <c r="O96">
        <v>1</v>
      </c>
      <c r="P96" t="s">
        <v>281</v>
      </c>
      <c r="Q96" t="s">
        <v>402</v>
      </c>
      <c r="R96" s="3">
        <f t="shared" si="2"/>
        <v>1</v>
      </c>
      <c r="S96" t="s">
        <v>462</v>
      </c>
      <c r="T96" s="7">
        <v>46231</v>
      </c>
    </row>
    <row r="97" spans="1:20" ht="32" customHeight="1">
      <c r="A97" s="3">
        <v>96</v>
      </c>
      <c r="B97" s="3" t="s">
        <v>9</v>
      </c>
      <c r="C97" s="3" t="s">
        <v>10</v>
      </c>
      <c r="D97" s="3" t="s">
        <v>66</v>
      </c>
      <c r="E97" s="4" t="s">
        <v>245</v>
      </c>
      <c r="F97" s="3" t="s">
        <v>246</v>
      </c>
      <c r="G97" t="s">
        <v>273</v>
      </c>
      <c r="H97" s="18" t="s">
        <v>453</v>
      </c>
      <c r="I97" t="s">
        <v>279</v>
      </c>
      <c r="J97" s="18" t="s">
        <v>403</v>
      </c>
      <c r="K97">
        <v>1</v>
      </c>
      <c r="L97">
        <v>3</v>
      </c>
      <c r="M97">
        <v>2</v>
      </c>
      <c r="O97">
        <v>5</v>
      </c>
      <c r="P97" t="s">
        <v>276</v>
      </c>
      <c r="Q97" t="s">
        <v>404</v>
      </c>
      <c r="R97" s="3">
        <f t="shared" si="2"/>
        <v>2</v>
      </c>
      <c r="S97" t="s">
        <v>455</v>
      </c>
      <c r="T97" s="7">
        <v>46231</v>
      </c>
    </row>
    <row r="98" spans="1:20" ht="32" customHeight="1">
      <c r="A98" s="3">
        <v>97</v>
      </c>
      <c r="B98" s="3" t="s">
        <v>9</v>
      </c>
      <c r="C98" s="3" t="s">
        <v>10</v>
      </c>
      <c r="D98" s="3" t="s">
        <v>11</v>
      </c>
      <c r="E98" s="4" t="s">
        <v>245</v>
      </c>
      <c r="F98" s="3" t="s">
        <v>250</v>
      </c>
      <c r="G98" t="s">
        <v>273</v>
      </c>
      <c r="H98" s="18" t="s">
        <v>453</v>
      </c>
      <c r="I98" t="s">
        <v>274</v>
      </c>
      <c r="J98" s="18" t="s">
        <v>405</v>
      </c>
      <c r="K98">
        <v>1</v>
      </c>
      <c r="L98">
        <v>3</v>
      </c>
      <c r="M98">
        <v>2</v>
      </c>
      <c r="O98">
        <v>4</v>
      </c>
      <c r="P98" t="s">
        <v>276</v>
      </c>
      <c r="Q98" t="s">
        <v>406</v>
      </c>
      <c r="R98" s="3">
        <f t="shared" si="2"/>
        <v>2</v>
      </c>
      <c r="S98" t="s">
        <v>407</v>
      </c>
      <c r="T98" s="7">
        <v>46231</v>
      </c>
    </row>
    <row r="99" spans="1:20" ht="32" customHeight="1">
      <c r="A99" s="3">
        <v>98</v>
      </c>
      <c r="B99" s="3" t="s">
        <v>35</v>
      </c>
      <c r="C99" s="3" t="s">
        <v>10</v>
      </c>
      <c r="D99" s="3" t="s">
        <v>17</v>
      </c>
      <c r="E99" s="4" t="s">
        <v>245</v>
      </c>
      <c r="F99" s="3" t="s">
        <v>252</v>
      </c>
      <c r="G99" t="s">
        <v>273</v>
      </c>
      <c r="H99" s="18" t="s">
        <v>453</v>
      </c>
      <c r="I99" t="s">
        <v>408</v>
      </c>
      <c r="J99" s="18" t="s">
        <v>409</v>
      </c>
      <c r="K99">
        <v>2</v>
      </c>
      <c r="L99">
        <v>3</v>
      </c>
      <c r="M99">
        <v>2</v>
      </c>
      <c r="O99">
        <v>4</v>
      </c>
      <c r="P99" t="s">
        <v>276</v>
      </c>
      <c r="Q99" t="s">
        <v>410</v>
      </c>
      <c r="R99" s="3">
        <f t="shared" si="2"/>
        <v>2</v>
      </c>
      <c r="S99" t="s">
        <v>411</v>
      </c>
      <c r="T99" s="7">
        <v>46231</v>
      </c>
    </row>
    <row r="100" spans="1:20" ht="32" customHeight="1">
      <c r="A100" s="3">
        <v>99</v>
      </c>
      <c r="B100" s="3" t="s">
        <v>9</v>
      </c>
      <c r="C100" s="3" t="s">
        <v>42</v>
      </c>
      <c r="D100" s="3" t="s">
        <v>46</v>
      </c>
      <c r="E100" s="4" t="s">
        <v>245</v>
      </c>
      <c r="F100" s="3" t="s">
        <v>254</v>
      </c>
      <c r="G100" t="s">
        <v>273</v>
      </c>
      <c r="H100" s="18" t="s">
        <v>453</v>
      </c>
      <c r="I100" t="s">
        <v>274</v>
      </c>
      <c r="J100" s="18" t="s">
        <v>412</v>
      </c>
      <c r="K100">
        <v>3</v>
      </c>
      <c r="L100">
        <v>4</v>
      </c>
      <c r="M100">
        <v>3</v>
      </c>
      <c r="O100">
        <v>5</v>
      </c>
      <c r="P100" t="s">
        <v>281</v>
      </c>
      <c r="Q100" t="s">
        <v>413</v>
      </c>
      <c r="R100" s="3">
        <f t="shared" si="2"/>
        <v>3.55</v>
      </c>
      <c r="S100" t="s">
        <v>414</v>
      </c>
      <c r="T100" s="7">
        <v>46231</v>
      </c>
    </row>
    <row r="101" spans="1:20" ht="32" customHeight="1">
      <c r="A101" s="3">
        <v>100</v>
      </c>
      <c r="B101" s="3" t="s">
        <v>9</v>
      </c>
      <c r="C101" s="3" t="s">
        <v>42</v>
      </c>
      <c r="D101" s="3" t="s">
        <v>43</v>
      </c>
      <c r="E101" s="4" t="s">
        <v>245</v>
      </c>
      <c r="F101" s="3" t="s">
        <v>256</v>
      </c>
      <c r="G101" t="s">
        <v>273</v>
      </c>
      <c r="H101" s="18" t="s">
        <v>453</v>
      </c>
      <c r="I101" t="s">
        <v>408</v>
      </c>
      <c r="J101" s="18" t="s">
        <v>415</v>
      </c>
      <c r="K101">
        <v>5</v>
      </c>
      <c r="L101">
        <v>5</v>
      </c>
      <c r="M101">
        <v>5</v>
      </c>
      <c r="O101">
        <v>4</v>
      </c>
      <c r="P101" t="s">
        <v>281</v>
      </c>
      <c r="Q101" t="s">
        <v>372</v>
      </c>
      <c r="R101" s="3">
        <f t="shared" si="2"/>
        <v>4.8499999999999996</v>
      </c>
      <c r="S101" t="s">
        <v>454</v>
      </c>
      <c r="T101" s="7">
        <v>46231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topLeftCell="F1" workbookViewId="0">
      <selection activeCell="L3" sqref="L3"/>
    </sheetView>
  </sheetViews>
  <sheetFormatPr baseColWidth="10" defaultRowHeight="15"/>
  <cols>
    <col min="1" max="1" width="10.6640625" style="3" customWidth="1"/>
    <col min="2" max="3" width="8.83203125" style="3" customWidth="1"/>
    <col min="4" max="4" width="22" style="3" customWidth="1"/>
    <col min="5" max="5" width="25.6640625" style="4" customWidth="1"/>
    <col min="6" max="6" width="95.1640625" style="3" customWidth="1"/>
    <col min="7" max="7" width="12" customWidth="1"/>
    <col min="9" max="9" width="13.33203125" customWidth="1"/>
    <col min="12" max="12" width="13.6640625" customWidth="1"/>
    <col min="13" max="13" width="14.83203125" customWidth="1"/>
  </cols>
  <sheetData>
    <row r="1" spans="1:13" ht="16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5" t="s">
        <v>416</v>
      </c>
      <c r="H1" s="5" t="s">
        <v>417</v>
      </c>
      <c r="I1" s="5" t="s">
        <v>418</v>
      </c>
      <c r="J1" s="5" t="s">
        <v>419</v>
      </c>
      <c r="K1" s="5" t="s">
        <v>420</v>
      </c>
      <c r="L1" s="5" t="s">
        <v>421</v>
      </c>
      <c r="M1" s="5" t="s">
        <v>422</v>
      </c>
    </row>
    <row r="2" spans="1:13" ht="16" customHeight="1">
      <c r="A2" s="3">
        <v>1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</row>
    <row r="3" spans="1:13" ht="16" customHeight="1">
      <c r="A3" s="3">
        <v>2</v>
      </c>
      <c r="B3" s="3" t="s">
        <v>9</v>
      </c>
      <c r="C3" s="3" t="s">
        <v>10</v>
      </c>
      <c r="D3" s="3" t="s">
        <v>17</v>
      </c>
      <c r="E3" s="4" t="s">
        <v>12</v>
      </c>
      <c r="F3" s="3" t="s">
        <v>18</v>
      </c>
    </row>
    <row r="4" spans="1:13" ht="16" customHeight="1">
      <c r="A4" s="3">
        <v>3</v>
      </c>
      <c r="B4" s="3" t="s">
        <v>9</v>
      </c>
      <c r="C4" s="3" t="s">
        <v>10</v>
      </c>
      <c r="D4" s="3" t="s">
        <v>20</v>
      </c>
      <c r="E4" s="4" t="s">
        <v>12</v>
      </c>
      <c r="F4" s="3" t="s">
        <v>21</v>
      </c>
    </row>
    <row r="5" spans="1:13" ht="16" customHeight="1">
      <c r="A5" s="3">
        <v>4</v>
      </c>
      <c r="B5" s="3" t="s">
        <v>9</v>
      </c>
      <c r="C5" s="3" t="s">
        <v>10</v>
      </c>
      <c r="D5" s="3" t="s">
        <v>23</v>
      </c>
      <c r="E5" s="4" t="s">
        <v>12</v>
      </c>
      <c r="F5" s="3" t="s">
        <v>24</v>
      </c>
    </row>
    <row r="6" spans="1:13" ht="16" customHeight="1">
      <c r="A6" s="3">
        <v>5</v>
      </c>
      <c r="B6" s="3" t="s">
        <v>9</v>
      </c>
      <c r="C6" s="3" t="s">
        <v>10</v>
      </c>
      <c r="D6" s="3" t="s">
        <v>26</v>
      </c>
      <c r="E6" s="4" t="s">
        <v>12</v>
      </c>
      <c r="F6" s="3" t="s">
        <v>27</v>
      </c>
    </row>
    <row r="7" spans="1:13" ht="16" customHeight="1">
      <c r="A7" s="3">
        <v>6</v>
      </c>
      <c r="B7" s="3" t="s">
        <v>9</v>
      </c>
      <c r="C7" s="3" t="s">
        <v>10</v>
      </c>
      <c r="D7" s="3" t="s">
        <v>29</v>
      </c>
      <c r="E7" s="4" t="s">
        <v>12</v>
      </c>
      <c r="F7" s="3" t="s">
        <v>30</v>
      </c>
    </row>
    <row r="8" spans="1:13" ht="16" customHeight="1">
      <c r="A8" s="3">
        <v>7</v>
      </c>
      <c r="B8" s="3" t="s">
        <v>9</v>
      </c>
      <c r="C8" s="3" t="s">
        <v>10</v>
      </c>
      <c r="D8" s="3" t="s">
        <v>32</v>
      </c>
      <c r="E8" s="4" t="s">
        <v>12</v>
      </c>
      <c r="F8" s="3" t="s">
        <v>33</v>
      </c>
    </row>
    <row r="9" spans="1:13" ht="16" customHeight="1">
      <c r="A9" s="3">
        <v>8</v>
      </c>
      <c r="B9" s="3" t="s">
        <v>35</v>
      </c>
      <c r="C9" s="3" t="s">
        <v>10</v>
      </c>
      <c r="D9" s="3" t="s">
        <v>36</v>
      </c>
      <c r="E9" s="4" t="s">
        <v>12</v>
      </c>
      <c r="F9" s="3" t="s">
        <v>37</v>
      </c>
    </row>
    <row r="10" spans="1:13" ht="16" customHeight="1">
      <c r="A10" s="3">
        <v>9</v>
      </c>
      <c r="B10" s="3" t="s">
        <v>35</v>
      </c>
      <c r="C10" s="3" t="s">
        <v>10</v>
      </c>
      <c r="D10" s="3" t="s">
        <v>39</v>
      </c>
      <c r="E10" s="4" t="s">
        <v>12</v>
      </c>
      <c r="F10" s="3" t="s">
        <v>40</v>
      </c>
    </row>
    <row r="11" spans="1:13" ht="16" customHeight="1">
      <c r="A11" s="3">
        <v>10</v>
      </c>
      <c r="B11" s="3" t="s">
        <v>9</v>
      </c>
      <c r="C11" s="3" t="s">
        <v>42</v>
      </c>
      <c r="D11" s="3" t="s">
        <v>43</v>
      </c>
      <c r="E11" s="4" t="s">
        <v>12</v>
      </c>
      <c r="F11" s="3" t="s">
        <v>44</v>
      </c>
    </row>
    <row r="12" spans="1:13" ht="16" customHeight="1">
      <c r="A12" s="3">
        <v>11</v>
      </c>
      <c r="B12" s="3" t="s">
        <v>9</v>
      </c>
      <c r="C12" s="3" t="s">
        <v>42</v>
      </c>
      <c r="D12" s="3" t="s">
        <v>46</v>
      </c>
      <c r="E12" s="4" t="s">
        <v>12</v>
      </c>
      <c r="F12" s="3" t="s">
        <v>47</v>
      </c>
    </row>
    <row r="13" spans="1:13" ht="16" customHeight="1">
      <c r="A13" s="3">
        <v>12</v>
      </c>
      <c r="B13" s="3" t="s">
        <v>9</v>
      </c>
      <c r="C13" s="3" t="s">
        <v>42</v>
      </c>
      <c r="D13" s="3" t="s">
        <v>49</v>
      </c>
      <c r="E13" s="4" t="s">
        <v>12</v>
      </c>
      <c r="F13" s="3" t="s">
        <v>50</v>
      </c>
    </row>
    <row r="14" spans="1:13" ht="16" customHeight="1">
      <c r="A14" s="3">
        <v>13</v>
      </c>
      <c r="B14" s="3" t="s">
        <v>9</v>
      </c>
      <c r="C14" s="3" t="s">
        <v>42</v>
      </c>
      <c r="D14" s="3" t="s">
        <v>52</v>
      </c>
      <c r="E14" s="4" t="s">
        <v>12</v>
      </c>
      <c r="F14" s="3" t="s">
        <v>53</v>
      </c>
    </row>
    <row r="15" spans="1:13" ht="16" customHeight="1">
      <c r="A15" s="3">
        <v>14</v>
      </c>
      <c r="B15" s="3" t="s">
        <v>35</v>
      </c>
      <c r="C15" s="3" t="s">
        <v>42</v>
      </c>
      <c r="D15" s="3" t="s">
        <v>55</v>
      </c>
      <c r="E15" s="4" t="s">
        <v>12</v>
      </c>
      <c r="F15" s="3" t="s">
        <v>56</v>
      </c>
    </row>
    <row r="16" spans="1:13" ht="16" customHeight="1">
      <c r="A16" s="3">
        <v>15</v>
      </c>
      <c r="B16" s="3" t="s">
        <v>35</v>
      </c>
      <c r="C16" s="3" t="s">
        <v>42</v>
      </c>
      <c r="D16" s="3" t="s">
        <v>58</v>
      </c>
      <c r="E16" s="4" t="s">
        <v>12</v>
      </c>
      <c r="F16" s="3" t="s">
        <v>59</v>
      </c>
    </row>
    <row r="17" spans="1:6" ht="32" customHeight="1">
      <c r="A17" s="3">
        <v>16</v>
      </c>
      <c r="B17" s="3" t="s">
        <v>9</v>
      </c>
      <c r="C17" s="3" t="s">
        <v>10</v>
      </c>
      <c r="D17" s="3" t="s">
        <v>36</v>
      </c>
      <c r="E17" s="4" t="s">
        <v>61</v>
      </c>
      <c r="F17" s="3" t="s">
        <v>62</v>
      </c>
    </row>
    <row r="18" spans="1:6" ht="32" customHeight="1">
      <c r="A18" s="3">
        <v>17</v>
      </c>
      <c r="B18" s="3" t="s">
        <v>9</v>
      </c>
      <c r="C18" s="3" t="s">
        <v>10</v>
      </c>
      <c r="D18" s="3" t="s">
        <v>66</v>
      </c>
      <c r="E18" s="4" t="s">
        <v>61</v>
      </c>
      <c r="F18" s="3" t="s">
        <v>67</v>
      </c>
    </row>
    <row r="19" spans="1:6" ht="32" customHeight="1">
      <c r="A19" s="3">
        <v>18</v>
      </c>
      <c r="B19" s="3" t="s">
        <v>9</v>
      </c>
      <c r="C19" s="3" t="s">
        <v>10</v>
      </c>
      <c r="D19" s="3" t="s">
        <v>39</v>
      </c>
      <c r="E19" s="4" t="s">
        <v>61</v>
      </c>
      <c r="F19" s="3" t="s">
        <v>69</v>
      </c>
    </row>
    <row r="20" spans="1:6" ht="32" customHeight="1">
      <c r="A20" s="3">
        <v>19</v>
      </c>
      <c r="B20" s="3" t="s">
        <v>9</v>
      </c>
      <c r="C20" s="3" t="s">
        <v>10</v>
      </c>
      <c r="D20" s="3" t="s">
        <v>26</v>
      </c>
      <c r="E20" s="4" t="s">
        <v>61</v>
      </c>
      <c r="F20" s="3" t="s">
        <v>71</v>
      </c>
    </row>
    <row r="21" spans="1:6" ht="32" customHeight="1">
      <c r="A21" s="3">
        <v>20</v>
      </c>
      <c r="B21" s="3" t="s">
        <v>9</v>
      </c>
      <c r="C21" s="3" t="s">
        <v>10</v>
      </c>
      <c r="D21" s="3" t="s">
        <v>73</v>
      </c>
      <c r="E21" s="4" t="s">
        <v>61</v>
      </c>
      <c r="F21" s="3" t="s">
        <v>74</v>
      </c>
    </row>
    <row r="22" spans="1:6" ht="32" customHeight="1">
      <c r="A22" s="3">
        <v>21</v>
      </c>
      <c r="B22" s="3" t="s">
        <v>9</v>
      </c>
      <c r="C22" s="3" t="s">
        <v>10</v>
      </c>
      <c r="D22" s="3" t="s">
        <v>29</v>
      </c>
      <c r="E22" s="4" t="s">
        <v>61</v>
      </c>
      <c r="F22" s="3" t="s">
        <v>76</v>
      </c>
    </row>
    <row r="23" spans="1:6" ht="32" customHeight="1">
      <c r="A23" s="3">
        <v>22</v>
      </c>
      <c r="B23" s="3" t="s">
        <v>35</v>
      </c>
      <c r="C23" s="3" t="s">
        <v>10</v>
      </c>
      <c r="D23" s="3" t="s">
        <v>78</v>
      </c>
      <c r="E23" s="4" t="s">
        <v>61</v>
      </c>
      <c r="F23" s="3" t="s">
        <v>79</v>
      </c>
    </row>
    <row r="24" spans="1:6" ht="32" customHeight="1">
      <c r="A24" s="3">
        <v>23</v>
      </c>
      <c r="B24" s="3" t="s">
        <v>35</v>
      </c>
      <c r="C24" s="3" t="s">
        <v>10</v>
      </c>
      <c r="D24" s="3" t="s">
        <v>81</v>
      </c>
      <c r="E24" s="4" t="s">
        <v>61</v>
      </c>
      <c r="F24" s="3" t="s">
        <v>82</v>
      </c>
    </row>
    <row r="25" spans="1:6" ht="32" customHeight="1">
      <c r="A25" s="3">
        <v>24</v>
      </c>
      <c r="B25" s="3" t="s">
        <v>35</v>
      </c>
      <c r="C25" s="3" t="s">
        <v>10</v>
      </c>
      <c r="D25" s="3" t="s">
        <v>11</v>
      </c>
      <c r="E25" s="4" t="s">
        <v>61</v>
      </c>
      <c r="F25" s="3" t="s">
        <v>84</v>
      </c>
    </row>
    <row r="26" spans="1:6" ht="32" customHeight="1">
      <c r="A26" s="3">
        <v>25</v>
      </c>
      <c r="B26" s="3" t="s">
        <v>9</v>
      </c>
      <c r="C26" s="3" t="s">
        <v>42</v>
      </c>
      <c r="D26" s="3" t="s">
        <v>86</v>
      </c>
      <c r="E26" s="4" t="s">
        <v>61</v>
      </c>
      <c r="F26" s="3" t="s">
        <v>87</v>
      </c>
    </row>
    <row r="27" spans="1:6" ht="32" customHeight="1">
      <c r="A27" s="3">
        <v>26</v>
      </c>
      <c r="B27" s="3" t="s">
        <v>9</v>
      </c>
      <c r="C27" s="3" t="s">
        <v>42</v>
      </c>
      <c r="D27" s="3" t="s">
        <v>46</v>
      </c>
      <c r="E27" s="4" t="s">
        <v>61</v>
      </c>
      <c r="F27" s="3" t="s">
        <v>89</v>
      </c>
    </row>
    <row r="28" spans="1:6" ht="32" customHeight="1">
      <c r="A28" s="3">
        <v>27</v>
      </c>
      <c r="B28" s="3" t="s">
        <v>9</v>
      </c>
      <c r="C28" s="3" t="s">
        <v>42</v>
      </c>
      <c r="D28" s="3" t="s">
        <v>52</v>
      </c>
      <c r="E28" s="4" t="s">
        <v>61</v>
      </c>
      <c r="F28" s="3" t="s">
        <v>91</v>
      </c>
    </row>
    <row r="29" spans="1:6" ht="32" customHeight="1">
      <c r="A29" s="3">
        <v>28</v>
      </c>
      <c r="B29" s="3" t="s">
        <v>9</v>
      </c>
      <c r="C29" s="3" t="s">
        <v>42</v>
      </c>
      <c r="D29" s="3" t="s">
        <v>49</v>
      </c>
      <c r="E29" s="4" t="s">
        <v>61</v>
      </c>
      <c r="F29" s="3" t="s">
        <v>93</v>
      </c>
    </row>
    <row r="30" spans="1:6" ht="32" customHeight="1">
      <c r="A30" s="3">
        <v>29</v>
      </c>
      <c r="B30" s="3" t="s">
        <v>35</v>
      </c>
      <c r="C30" s="3" t="s">
        <v>42</v>
      </c>
      <c r="D30" s="3" t="s">
        <v>55</v>
      </c>
      <c r="E30" s="4" t="s">
        <v>61</v>
      </c>
      <c r="F30" s="3" t="s">
        <v>95</v>
      </c>
    </row>
    <row r="31" spans="1:6" ht="32" customHeight="1">
      <c r="A31" s="3">
        <v>30</v>
      </c>
      <c r="B31" s="3" t="s">
        <v>35</v>
      </c>
      <c r="C31" s="3" t="s">
        <v>42</v>
      </c>
      <c r="D31" s="3" t="s">
        <v>43</v>
      </c>
      <c r="E31" s="4" t="s">
        <v>61</v>
      </c>
      <c r="F31" s="3" t="s">
        <v>97</v>
      </c>
    </row>
    <row r="32" spans="1:6" ht="32" customHeight="1">
      <c r="A32" s="3">
        <v>31</v>
      </c>
      <c r="B32" s="3" t="s">
        <v>9</v>
      </c>
      <c r="C32" s="3" t="s">
        <v>10</v>
      </c>
      <c r="D32" s="3" t="s">
        <v>11</v>
      </c>
      <c r="E32" s="4" t="s">
        <v>99</v>
      </c>
      <c r="F32" s="3" t="s">
        <v>100</v>
      </c>
    </row>
    <row r="33" spans="1:6" ht="32" customHeight="1">
      <c r="A33" s="3">
        <v>32</v>
      </c>
      <c r="B33" s="3" t="s">
        <v>9</v>
      </c>
      <c r="C33" s="3" t="s">
        <v>10</v>
      </c>
      <c r="D33" s="3" t="s">
        <v>66</v>
      </c>
      <c r="E33" s="4" t="s">
        <v>99</v>
      </c>
      <c r="F33" s="3" t="s">
        <v>104</v>
      </c>
    </row>
    <row r="34" spans="1:6" ht="32" customHeight="1">
      <c r="A34" s="3">
        <v>33</v>
      </c>
      <c r="B34" s="3" t="s">
        <v>9</v>
      </c>
      <c r="C34" s="3" t="s">
        <v>10</v>
      </c>
      <c r="D34" s="3" t="s">
        <v>23</v>
      </c>
      <c r="E34" s="4" t="s">
        <v>99</v>
      </c>
      <c r="F34" s="3" t="s">
        <v>106</v>
      </c>
    </row>
    <row r="35" spans="1:6" ht="32" customHeight="1">
      <c r="A35" s="3">
        <v>34</v>
      </c>
      <c r="B35" s="3" t="s">
        <v>9</v>
      </c>
      <c r="C35" s="3" t="s">
        <v>10</v>
      </c>
      <c r="D35" s="3" t="s">
        <v>73</v>
      </c>
      <c r="E35" s="4" t="s">
        <v>99</v>
      </c>
      <c r="F35" s="3" t="s">
        <v>108</v>
      </c>
    </row>
    <row r="36" spans="1:6" ht="32" customHeight="1">
      <c r="A36" s="3">
        <v>35</v>
      </c>
      <c r="B36" s="3" t="s">
        <v>9</v>
      </c>
      <c r="C36" s="3" t="s">
        <v>10</v>
      </c>
      <c r="D36" s="3" t="s">
        <v>39</v>
      </c>
      <c r="E36" s="4" t="s">
        <v>99</v>
      </c>
      <c r="F36" s="3" t="s">
        <v>110</v>
      </c>
    </row>
    <row r="37" spans="1:6" ht="32" customHeight="1">
      <c r="A37" s="3">
        <v>36</v>
      </c>
      <c r="B37" s="3" t="s">
        <v>9</v>
      </c>
      <c r="C37" s="3" t="s">
        <v>10</v>
      </c>
      <c r="D37" s="3" t="s">
        <v>36</v>
      </c>
      <c r="E37" s="4" t="s">
        <v>99</v>
      </c>
      <c r="F37" s="3" t="s">
        <v>112</v>
      </c>
    </row>
    <row r="38" spans="1:6" ht="32" customHeight="1">
      <c r="A38" s="3">
        <v>37</v>
      </c>
      <c r="B38" s="3" t="s">
        <v>35</v>
      </c>
      <c r="C38" s="3" t="s">
        <v>10</v>
      </c>
      <c r="D38" s="3" t="s">
        <v>66</v>
      </c>
      <c r="E38" s="4" t="s">
        <v>99</v>
      </c>
      <c r="F38" s="3" t="s">
        <v>114</v>
      </c>
    </row>
    <row r="39" spans="1:6" ht="32" customHeight="1">
      <c r="A39" s="3">
        <v>38</v>
      </c>
      <c r="B39" s="3" t="s">
        <v>35</v>
      </c>
      <c r="C39" s="3" t="s">
        <v>10</v>
      </c>
      <c r="D39" s="3" t="s">
        <v>17</v>
      </c>
      <c r="E39" s="4" t="s">
        <v>99</v>
      </c>
      <c r="F39" s="3" t="s">
        <v>116</v>
      </c>
    </row>
    <row r="40" spans="1:6" ht="32" customHeight="1">
      <c r="A40" s="3">
        <v>39</v>
      </c>
      <c r="B40" s="3" t="s">
        <v>35</v>
      </c>
      <c r="C40" s="3" t="s">
        <v>10</v>
      </c>
      <c r="D40" s="3" t="s">
        <v>26</v>
      </c>
      <c r="E40" s="4" t="s">
        <v>99</v>
      </c>
      <c r="F40" s="3" t="s">
        <v>118</v>
      </c>
    </row>
    <row r="41" spans="1:6" ht="32" customHeight="1">
      <c r="A41" s="3">
        <v>40</v>
      </c>
      <c r="B41" s="3" t="s">
        <v>9</v>
      </c>
      <c r="C41" s="3" t="s">
        <v>42</v>
      </c>
      <c r="D41" s="3" t="s">
        <v>46</v>
      </c>
      <c r="E41" s="4" t="s">
        <v>99</v>
      </c>
      <c r="F41" s="3" t="s">
        <v>120</v>
      </c>
    </row>
    <row r="42" spans="1:6" ht="32" customHeight="1">
      <c r="A42" s="3">
        <v>41</v>
      </c>
      <c r="B42" s="3" t="s">
        <v>9</v>
      </c>
      <c r="C42" s="3" t="s">
        <v>42</v>
      </c>
      <c r="D42" s="3" t="s">
        <v>52</v>
      </c>
      <c r="E42" s="4" t="s">
        <v>99</v>
      </c>
      <c r="F42" s="3" t="s">
        <v>122</v>
      </c>
    </row>
    <row r="43" spans="1:6" ht="32" customHeight="1">
      <c r="A43" s="3">
        <v>42</v>
      </c>
      <c r="B43" s="3" t="s">
        <v>9</v>
      </c>
      <c r="C43" s="3" t="s">
        <v>42</v>
      </c>
      <c r="D43" s="3" t="s">
        <v>55</v>
      </c>
      <c r="E43" s="4" t="s">
        <v>99</v>
      </c>
      <c r="F43" s="3" t="s">
        <v>124</v>
      </c>
    </row>
    <row r="44" spans="1:6" ht="32" customHeight="1">
      <c r="A44" s="3">
        <v>43</v>
      </c>
      <c r="B44" s="3" t="s">
        <v>9</v>
      </c>
      <c r="C44" s="3" t="s">
        <v>42</v>
      </c>
      <c r="D44" s="3" t="s">
        <v>43</v>
      </c>
      <c r="E44" s="4" t="s">
        <v>99</v>
      </c>
      <c r="F44" s="3" t="s">
        <v>126</v>
      </c>
    </row>
    <row r="45" spans="1:6" ht="32" customHeight="1">
      <c r="A45" s="3">
        <v>44</v>
      </c>
      <c r="B45" s="3" t="s">
        <v>35</v>
      </c>
      <c r="C45" s="3" t="s">
        <v>42</v>
      </c>
      <c r="D45" s="3" t="s">
        <v>86</v>
      </c>
      <c r="E45" s="4" t="s">
        <v>99</v>
      </c>
      <c r="F45" s="3" t="s">
        <v>128</v>
      </c>
    </row>
    <row r="46" spans="1:6" ht="32" customHeight="1">
      <c r="A46" s="3">
        <v>45</v>
      </c>
      <c r="B46" s="3" t="s">
        <v>35</v>
      </c>
      <c r="C46" s="3" t="s">
        <v>42</v>
      </c>
      <c r="D46" s="3" t="s">
        <v>130</v>
      </c>
      <c r="E46" s="4" t="s">
        <v>99</v>
      </c>
      <c r="F46" s="3" t="s">
        <v>131</v>
      </c>
    </row>
    <row r="47" spans="1:6" ht="16" customHeight="1">
      <c r="A47" s="3">
        <v>46</v>
      </c>
      <c r="B47" s="3" t="s">
        <v>9</v>
      </c>
      <c r="C47" s="3" t="s">
        <v>10</v>
      </c>
      <c r="D47" s="3" t="s">
        <v>66</v>
      </c>
      <c r="E47" s="4" t="s">
        <v>133</v>
      </c>
      <c r="F47" s="3" t="s">
        <v>134</v>
      </c>
    </row>
    <row r="48" spans="1:6" ht="16" customHeight="1">
      <c r="A48" s="3">
        <v>47</v>
      </c>
      <c r="B48" s="3" t="s">
        <v>9</v>
      </c>
      <c r="C48" s="3" t="s">
        <v>10</v>
      </c>
      <c r="D48" s="3" t="s">
        <v>11</v>
      </c>
      <c r="E48" s="4" t="s">
        <v>133</v>
      </c>
      <c r="F48" s="3" t="s">
        <v>138</v>
      </c>
    </row>
    <row r="49" spans="1:6" ht="16" customHeight="1">
      <c r="A49" s="3">
        <v>48</v>
      </c>
      <c r="B49" s="3" t="s">
        <v>9</v>
      </c>
      <c r="C49" s="3" t="s">
        <v>10</v>
      </c>
      <c r="D49" s="3" t="s">
        <v>20</v>
      </c>
      <c r="E49" s="4" t="s">
        <v>133</v>
      </c>
      <c r="F49" s="3" t="s">
        <v>140</v>
      </c>
    </row>
    <row r="50" spans="1:6" ht="16" customHeight="1">
      <c r="A50" s="3">
        <v>49</v>
      </c>
      <c r="B50" s="3" t="s">
        <v>9</v>
      </c>
      <c r="C50" s="3" t="s">
        <v>10</v>
      </c>
      <c r="D50" s="3" t="s">
        <v>17</v>
      </c>
      <c r="E50" s="4" t="s">
        <v>133</v>
      </c>
      <c r="F50" s="3" t="s">
        <v>142</v>
      </c>
    </row>
    <row r="51" spans="1:6" ht="16" customHeight="1">
      <c r="A51" s="3">
        <v>50</v>
      </c>
      <c r="B51" s="3" t="s">
        <v>9</v>
      </c>
      <c r="C51" s="3" t="s">
        <v>10</v>
      </c>
      <c r="D51" s="3" t="s">
        <v>23</v>
      </c>
      <c r="E51" s="4" t="s">
        <v>133</v>
      </c>
      <c r="F51" s="3" t="s">
        <v>144</v>
      </c>
    </row>
    <row r="52" spans="1:6" ht="16" customHeight="1">
      <c r="A52" s="3">
        <v>51</v>
      </c>
      <c r="B52" s="3" t="s">
        <v>9</v>
      </c>
      <c r="C52" s="3" t="s">
        <v>10</v>
      </c>
      <c r="D52" s="3" t="s">
        <v>73</v>
      </c>
      <c r="E52" s="4" t="s">
        <v>133</v>
      </c>
      <c r="F52" s="3" t="s">
        <v>146</v>
      </c>
    </row>
    <row r="53" spans="1:6" ht="16" customHeight="1">
      <c r="A53" s="3">
        <v>52</v>
      </c>
      <c r="B53" s="3" t="s">
        <v>9</v>
      </c>
      <c r="C53" s="3" t="s">
        <v>10</v>
      </c>
      <c r="D53" s="3" t="s">
        <v>32</v>
      </c>
      <c r="E53" s="4" t="s">
        <v>133</v>
      </c>
      <c r="F53" s="3" t="s">
        <v>148</v>
      </c>
    </row>
    <row r="54" spans="1:6" ht="16" customHeight="1">
      <c r="A54" s="3">
        <v>53</v>
      </c>
      <c r="B54" s="3" t="s">
        <v>35</v>
      </c>
      <c r="C54" s="3" t="s">
        <v>10</v>
      </c>
      <c r="D54" s="3" t="s">
        <v>150</v>
      </c>
      <c r="E54" s="4" t="s">
        <v>133</v>
      </c>
      <c r="F54" s="3" t="s">
        <v>151</v>
      </c>
    </row>
    <row r="55" spans="1:6" ht="16" customHeight="1">
      <c r="A55" s="3">
        <v>54</v>
      </c>
      <c r="B55" s="3" t="s">
        <v>35</v>
      </c>
      <c r="C55" s="3" t="s">
        <v>10</v>
      </c>
      <c r="D55" s="3" t="s">
        <v>29</v>
      </c>
      <c r="E55" s="4" t="s">
        <v>133</v>
      </c>
      <c r="F55" s="3" t="s">
        <v>153</v>
      </c>
    </row>
    <row r="56" spans="1:6" ht="16" customHeight="1">
      <c r="A56" s="3">
        <v>55</v>
      </c>
      <c r="B56" s="3" t="s">
        <v>9</v>
      </c>
      <c r="C56" s="3" t="s">
        <v>42</v>
      </c>
      <c r="D56" s="3" t="s">
        <v>46</v>
      </c>
      <c r="E56" s="4" t="s">
        <v>133</v>
      </c>
      <c r="F56" s="3" t="s">
        <v>155</v>
      </c>
    </row>
    <row r="57" spans="1:6" ht="16" customHeight="1">
      <c r="A57" s="3">
        <v>56</v>
      </c>
      <c r="B57" s="3" t="s">
        <v>9</v>
      </c>
      <c r="C57" s="3" t="s">
        <v>42</v>
      </c>
      <c r="D57" s="3" t="s">
        <v>52</v>
      </c>
      <c r="E57" s="4" t="s">
        <v>133</v>
      </c>
      <c r="F57" s="3" t="s">
        <v>157</v>
      </c>
    </row>
    <row r="58" spans="1:6" ht="16" customHeight="1">
      <c r="A58" s="3">
        <v>57</v>
      </c>
      <c r="B58" s="3" t="s">
        <v>9</v>
      </c>
      <c r="C58" s="3" t="s">
        <v>42</v>
      </c>
      <c r="D58" s="3" t="s">
        <v>43</v>
      </c>
      <c r="E58" s="4" t="s">
        <v>133</v>
      </c>
      <c r="F58" s="3" t="s">
        <v>159</v>
      </c>
    </row>
    <row r="59" spans="1:6" ht="16" customHeight="1">
      <c r="A59" s="3">
        <v>58</v>
      </c>
      <c r="B59" s="3" t="s">
        <v>9</v>
      </c>
      <c r="C59" s="3" t="s">
        <v>42</v>
      </c>
      <c r="D59" s="3" t="s">
        <v>49</v>
      </c>
      <c r="E59" s="4" t="s">
        <v>133</v>
      </c>
      <c r="F59" s="3" t="s">
        <v>161</v>
      </c>
    </row>
    <row r="60" spans="1:6" ht="16" customHeight="1">
      <c r="A60" s="3">
        <v>59</v>
      </c>
      <c r="B60" s="3" t="s">
        <v>35</v>
      </c>
      <c r="C60" s="3" t="s">
        <v>42</v>
      </c>
      <c r="D60" s="3" t="s">
        <v>163</v>
      </c>
      <c r="E60" s="4" t="s">
        <v>133</v>
      </c>
      <c r="F60" s="3" t="s">
        <v>303</v>
      </c>
    </row>
    <row r="61" spans="1:6" ht="16" customHeight="1">
      <c r="A61" s="3">
        <v>60</v>
      </c>
      <c r="B61" s="3" t="s">
        <v>35</v>
      </c>
      <c r="C61" s="3" t="s">
        <v>42</v>
      </c>
      <c r="D61" s="3" t="s">
        <v>58</v>
      </c>
      <c r="E61" s="4" t="s">
        <v>133</v>
      </c>
      <c r="F61" s="3" t="s">
        <v>166</v>
      </c>
    </row>
    <row r="62" spans="1:6" ht="16" customHeight="1">
      <c r="A62" s="3">
        <v>61</v>
      </c>
      <c r="B62" s="3" t="s">
        <v>9</v>
      </c>
      <c r="C62" s="3" t="s">
        <v>10</v>
      </c>
      <c r="D62" s="3" t="s">
        <v>150</v>
      </c>
      <c r="E62" s="4" t="s">
        <v>168</v>
      </c>
      <c r="F62" s="3" t="s">
        <v>169</v>
      </c>
    </row>
    <row r="63" spans="1:6" ht="16" customHeight="1">
      <c r="A63" s="3">
        <v>62</v>
      </c>
      <c r="B63" s="3" t="s">
        <v>9</v>
      </c>
      <c r="C63" s="3" t="s">
        <v>10</v>
      </c>
      <c r="D63" s="3" t="s">
        <v>11</v>
      </c>
      <c r="E63" s="4" t="s">
        <v>168</v>
      </c>
      <c r="F63" s="3" t="s">
        <v>173</v>
      </c>
    </row>
    <row r="64" spans="1:6" ht="16" customHeight="1">
      <c r="A64" s="3">
        <v>63</v>
      </c>
      <c r="B64" s="3" t="s">
        <v>9</v>
      </c>
      <c r="C64" s="3" t="s">
        <v>10</v>
      </c>
      <c r="D64" s="3" t="s">
        <v>66</v>
      </c>
      <c r="E64" s="4" t="s">
        <v>168</v>
      </c>
      <c r="F64" s="3" t="s">
        <v>175</v>
      </c>
    </row>
    <row r="65" spans="1:6" ht="16" customHeight="1">
      <c r="A65" s="3">
        <v>64</v>
      </c>
      <c r="B65" s="3" t="s">
        <v>9</v>
      </c>
      <c r="C65" s="3" t="s">
        <v>10</v>
      </c>
      <c r="D65" s="3" t="s">
        <v>23</v>
      </c>
      <c r="E65" s="4" t="s">
        <v>168</v>
      </c>
      <c r="F65" s="3" t="s">
        <v>177</v>
      </c>
    </row>
    <row r="66" spans="1:6" ht="16" customHeight="1">
      <c r="A66" s="3">
        <v>65</v>
      </c>
      <c r="B66" s="3" t="s">
        <v>9</v>
      </c>
      <c r="C66" s="3" t="s">
        <v>10</v>
      </c>
      <c r="D66" s="3" t="s">
        <v>20</v>
      </c>
      <c r="E66" s="4" t="s">
        <v>168</v>
      </c>
      <c r="F66" s="3" t="s">
        <v>179</v>
      </c>
    </row>
    <row r="67" spans="1:6" ht="16" customHeight="1">
      <c r="A67" s="3">
        <v>66</v>
      </c>
      <c r="B67" s="3" t="s">
        <v>9</v>
      </c>
      <c r="C67" s="3" t="s">
        <v>10</v>
      </c>
      <c r="D67" s="3" t="s">
        <v>26</v>
      </c>
      <c r="E67" s="4" t="s">
        <v>168</v>
      </c>
      <c r="F67" s="3" t="s">
        <v>181</v>
      </c>
    </row>
    <row r="68" spans="1:6" ht="16" customHeight="1">
      <c r="A68" s="3">
        <v>67</v>
      </c>
      <c r="B68" s="3" t="s">
        <v>9</v>
      </c>
      <c r="C68" s="3" t="s">
        <v>10</v>
      </c>
      <c r="D68" s="3" t="s">
        <v>17</v>
      </c>
      <c r="E68" s="4" t="s">
        <v>168</v>
      </c>
      <c r="F68" s="3" t="s">
        <v>183</v>
      </c>
    </row>
    <row r="69" spans="1:6" ht="16" customHeight="1">
      <c r="A69" s="3">
        <v>68</v>
      </c>
      <c r="B69" s="3" t="s">
        <v>9</v>
      </c>
      <c r="C69" s="3" t="s">
        <v>10</v>
      </c>
      <c r="D69" s="3" t="s">
        <v>39</v>
      </c>
      <c r="E69" s="4" t="s">
        <v>168</v>
      </c>
      <c r="F69" s="3" t="s">
        <v>185</v>
      </c>
    </row>
    <row r="70" spans="1:6" ht="16" customHeight="1">
      <c r="A70" s="3">
        <v>69</v>
      </c>
      <c r="B70" s="3" t="s">
        <v>9</v>
      </c>
      <c r="C70" s="3" t="s">
        <v>10</v>
      </c>
      <c r="D70" s="3" t="s">
        <v>73</v>
      </c>
      <c r="E70" s="4" t="s">
        <v>168</v>
      </c>
      <c r="F70" s="3" t="s">
        <v>187</v>
      </c>
    </row>
    <row r="71" spans="1:6" ht="16" customHeight="1">
      <c r="A71" s="3">
        <v>70</v>
      </c>
      <c r="B71" s="3" t="s">
        <v>35</v>
      </c>
      <c r="C71" s="3" t="s">
        <v>10</v>
      </c>
      <c r="D71" s="3" t="s">
        <v>81</v>
      </c>
      <c r="E71" s="4" t="s">
        <v>168</v>
      </c>
      <c r="F71" s="3" t="s">
        <v>189</v>
      </c>
    </row>
    <row r="72" spans="1:6" ht="16" customHeight="1">
      <c r="A72" s="3">
        <v>71</v>
      </c>
      <c r="B72" s="3" t="s">
        <v>35</v>
      </c>
      <c r="C72" s="3" t="s">
        <v>10</v>
      </c>
      <c r="D72" s="3" t="s">
        <v>32</v>
      </c>
      <c r="E72" s="4" t="s">
        <v>168</v>
      </c>
      <c r="F72" s="3" t="s">
        <v>191</v>
      </c>
    </row>
    <row r="73" spans="1:6" ht="16" customHeight="1">
      <c r="A73" s="3">
        <v>72</v>
      </c>
      <c r="B73" s="3" t="s">
        <v>35</v>
      </c>
      <c r="C73" s="3" t="s">
        <v>10</v>
      </c>
      <c r="D73" s="3" t="s">
        <v>29</v>
      </c>
      <c r="E73" s="4" t="s">
        <v>168</v>
      </c>
      <c r="F73" s="3" t="s">
        <v>193</v>
      </c>
    </row>
    <row r="74" spans="1:6" ht="16" customHeight="1">
      <c r="A74" s="3">
        <v>73</v>
      </c>
      <c r="B74" s="3" t="s">
        <v>9</v>
      </c>
      <c r="C74" s="3" t="s">
        <v>42</v>
      </c>
      <c r="D74" s="3" t="s">
        <v>46</v>
      </c>
      <c r="E74" s="4" t="s">
        <v>168</v>
      </c>
      <c r="F74" s="3" t="s">
        <v>195</v>
      </c>
    </row>
    <row r="75" spans="1:6" ht="16" customHeight="1">
      <c r="A75" s="3">
        <v>74</v>
      </c>
      <c r="B75" s="3" t="s">
        <v>9</v>
      </c>
      <c r="C75" s="3" t="s">
        <v>42</v>
      </c>
      <c r="D75" s="3" t="s">
        <v>52</v>
      </c>
      <c r="E75" s="4" t="s">
        <v>168</v>
      </c>
      <c r="F75" s="3" t="s">
        <v>197</v>
      </c>
    </row>
    <row r="76" spans="1:6" ht="16" customHeight="1">
      <c r="A76" s="3">
        <v>75</v>
      </c>
      <c r="B76" s="3" t="s">
        <v>9</v>
      </c>
      <c r="C76" s="3" t="s">
        <v>42</v>
      </c>
      <c r="D76" s="3" t="s">
        <v>43</v>
      </c>
      <c r="E76" s="4" t="s">
        <v>168</v>
      </c>
      <c r="F76" s="3" t="s">
        <v>199</v>
      </c>
    </row>
    <row r="77" spans="1:6" ht="16" customHeight="1">
      <c r="A77" s="3">
        <v>76</v>
      </c>
      <c r="B77" s="3" t="s">
        <v>9</v>
      </c>
      <c r="C77" s="3" t="s">
        <v>42</v>
      </c>
      <c r="D77" s="3" t="s">
        <v>49</v>
      </c>
      <c r="E77" s="4" t="s">
        <v>168</v>
      </c>
      <c r="F77" s="3" t="s">
        <v>201</v>
      </c>
    </row>
    <row r="78" spans="1:6" ht="16" customHeight="1">
      <c r="A78" s="3">
        <v>77</v>
      </c>
      <c r="B78" s="3" t="s">
        <v>9</v>
      </c>
      <c r="C78" s="3" t="s">
        <v>42</v>
      </c>
      <c r="D78" s="3" t="s">
        <v>203</v>
      </c>
      <c r="E78" s="4" t="s">
        <v>168</v>
      </c>
      <c r="F78" s="3" t="s">
        <v>204</v>
      </c>
    </row>
    <row r="79" spans="1:6" ht="16" customHeight="1">
      <c r="A79" s="3">
        <v>78</v>
      </c>
      <c r="B79" s="3" t="s">
        <v>35</v>
      </c>
      <c r="C79" s="3" t="s">
        <v>42</v>
      </c>
      <c r="D79" s="3" t="s">
        <v>55</v>
      </c>
      <c r="E79" s="4" t="s">
        <v>168</v>
      </c>
      <c r="F79" s="3" t="s">
        <v>206</v>
      </c>
    </row>
    <row r="80" spans="1:6" ht="16" customHeight="1">
      <c r="A80" s="3">
        <v>79</v>
      </c>
      <c r="B80" s="3" t="s">
        <v>35</v>
      </c>
      <c r="C80" s="3" t="s">
        <v>42</v>
      </c>
      <c r="D80" s="3" t="s">
        <v>86</v>
      </c>
      <c r="E80" s="4" t="s">
        <v>168</v>
      </c>
      <c r="F80" s="3" t="s">
        <v>208</v>
      </c>
    </row>
    <row r="81" spans="1:6" ht="16" customHeight="1">
      <c r="A81" s="3">
        <v>80</v>
      </c>
      <c r="B81" s="3" t="s">
        <v>35</v>
      </c>
      <c r="C81" s="3" t="s">
        <v>42</v>
      </c>
      <c r="D81" s="3" t="s">
        <v>130</v>
      </c>
      <c r="E81" s="4" t="s">
        <v>168</v>
      </c>
      <c r="F81" s="3" t="s">
        <v>210</v>
      </c>
    </row>
    <row r="82" spans="1:6" ht="32" customHeight="1">
      <c r="A82" s="3">
        <v>81</v>
      </c>
      <c r="B82" s="3" t="s">
        <v>9</v>
      </c>
      <c r="C82" s="3" t="s">
        <v>10</v>
      </c>
      <c r="D82" s="3" t="s">
        <v>73</v>
      </c>
      <c r="E82" s="4" t="s">
        <v>212</v>
      </c>
      <c r="F82" s="3" t="s">
        <v>213</v>
      </c>
    </row>
    <row r="83" spans="1:6" ht="32" customHeight="1">
      <c r="A83" s="3">
        <v>82</v>
      </c>
      <c r="B83" s="3" t="s">
        <v>9</v>
      </c>
      <c r="C83" s="3" t="s">
        <v>10</v>
      </c>
      <c r="D83" s="3" t="s">
        <v>66</v>
      </c>
      <c r="E83" s="4" t="s">
        <v>212</v>
      </c>
      <c r="F83" s="3" t="s">
        <v>217</v>
      </c>
    </row>
    <row r="84" spans="1:6" ht="32" customHeight="1">
      <c r="A84" s="3">
        <v>83</v>
      </c>
      <c r="B84" s="3" t="s">
        <v>9</v>
      </c>
      <c r="C84" s="3" t="s">
        <v>10</v>
      </c>
      <c r="D84" s="3" t="s">
        <v>11</v>
      </c>
      <c r="E84" s="4" t="s">
        <v>212</v>
      </c>
      <c r="F84" s="3" t="s">
        <v>219</v>
      </c>
    </row>
    <row r="85" spans="1:6" ht="32" customHeight="1">
      <c r="A85" s="3">
        <v>84</v>
      </c>
      <c r="B85" s="3" t="s">
        <v>9</v>
      </c>
      <c r="C85" s="3" t="s">
        <v>10</v>
      </c>
      <c r="D85" s="3" t="s">
        <v>23</v>
      </c>
      <c r="E85" s="4" t="s">
        <v>212</v>
      </c>
      <c r="F85" s="3" t="s">
        <v>221</v>
      </c>
    </row>
    <row r="86" spans="1:6" ht="32" customHeight="1">
      <c r="A86" s="3">
        <v>85</v>
      </c>
      <c r="B86" s="3" t="s">
        <v>9</v>
      </c>
      <c r="C86" s="3" t="s">
        <v>10</v>
      </c>
      <c r="D86" s="3" t="s">
        <v>39</v>
      </c>
      <c r="E86" s="4" t="s">
        <v>212</v>
      </c>
      <c r="F86" s="3" t="s">
        <v>223</v>
      </c>
    </row>
    <row r="87" spans="1:6" ht="32" customHeight="1">
      <c r="A87" s="3">
        <v>86</v>
      </c>
      <c r="B87" s="3" t="s">
        <v>9</v>
      </c>
      <c r="C87" s="3" t="s">
        <v>10</v>
      </c>
      <c r="D87" s="3" t="s">
        <v>26</v>
      </c>
      <c r="E87" s="4" t="s">
        <v>212</v>
      </c>
      <c r="F87" s="3" t="s">
        <v>225</v>
      </c>
    </row>
    <row r="88" spans="1:6" ht="32" customHeight="1">
      <c r="A88" s="3">
        <v>87</v>
      </c>
      <c r="B88" s="3" t="s">
        <v>35</v>
      </c>
      <c r="C88" s="3" t="s">
        <v>10</v>
      </c>
      <c r="D88" s="3" t="s">
        <v>150</v>
      </c>
      <c r="E88" s="4" t="s">
        <v>212</v>
      </c>
      <c r="F88" s="3" t="s">
        <v>227</v>
      </c>
    </row>
    <row r="89" spans="1:6" ht="32" customHeight="1">
      <c r="A89" s="3">
        <v>88</v>
      </c>
      <c r="B89" s="3" t="s">
        <v>35</v>
      </c>
      <c r="C89" s="3" t="s">
        <v>10</v>
      </c>
      <c r="D89" s="3" t="s">
        <v>20</v>
      </c>
      <c r="E89" s="4" t="s">
        <v>212</v>
      </c>
      <c r="F89" s="3" t="s">
        <v>229</v>
      </c>
    </row>
    <row r="90" spans="1:6" ht="32" customHeight="1">
      <c r="A90" s="3">
        <v>89</v>
      </c>
      <c r="B90" s="3" t="s">
        <v>35</v>
      </c>
      <c r="C90" s="3" t="s">
        <v>10</v>
      </c>
      <c r="D90" s="3" t="s">
        <v>17</v>
      </c>
      <c r="E90" s="4" t="s">
        <v>212</v>
      </c>
      <c r="F90" s="3" t="s">
        <v>231</v>
      </c>
    </row>
    <row r="91" spans="1:6" ht="32" customHeight="1">
      <c r="A91" s="3">
        <v>90</v>
      </c>
      <c r="B91" s="3" t="s">
        <v>9</v>
      </c>
      <c r="C91" s="3" t="s">
        <v>42</v>
      </c>
      <c r="D91" s="3" t="s">
        <v>46</v>
      </c>
      <c r="E91" s="4" t="s">
        <v>212</v>
      </c>
      <c r="F91" s="3" t="s">
        <v>233</v>
      </c>
    </row>
    <row r="92" spans="1:6" ht="32" customHeight="1">
      <c r="A92" s="3">
        <v>91</v>
      </c>
      <c r="B92" s="3" t="s">
        <v>9</v>
      </c>
      <c r="C92" s="3" t="s">
        <v>42</v>
      </c>
      <c r="D92" s="3" t="s">
        <v>52</v>
      </c>
      <c r="E92" s="4" t="s">
        <v>212</v>
      </c>
      <c r="F92" s="3" t="s">
        <v>235</v>
      </c>
    </row>
    <row r="93" spans="1:6" ht="32" customHeight="1">
      <c r="A93" s="3">
        <v>92</v>
      </c>
      <c r="B93" s="3" t="s">
        <v>9</v>
      </c>
      <c r="C93" s="3" t="s">
        <v>42</v>
      </c>
      <c r="D93" s="3" t="s">
        <v>43</v>
      </c>
      <c r="E93" s="4" t="s">
        <v>212</v>
      </c>
      <c r="F93" s="3" t="s">
        <v>237</v>
      </c>
    </row>
    <row r="94" spans="1:6" ht="32" customHeight="1">
      <c r="A94" s="3">
        <v>93</v>
      </c>
      <c r="B94" s="3" t="s">
        <v>9</v>
      </c>
      <c r="C94" s="3" t="s">
        <v>42</v>
      </c>
      <c r="D94" s="3" t="s">
        <v>49</v>
      </c>
      <c r="E94" s="4" t="s">
        <v>212</v>
      </c>
      <c r="F94" s="3" t="s">
        <v>239</v>
      </c>
    </row>
    <row r="95" spans="1:6" ht="32" customHeight="1">
      <c r="A95" s="3">
        <v>94</v>
      </c>
      <c r="B95" s="3" t="s">
        <v>35</v>
      </c>
      <c r="C95" s="3" t="s">
        <v>42</v>
      </c>
      <c r="D95" s="3" t="s">
        <v>163</v>
      </c>
      <c r="E95" s="4" t="s">
        <v>212</v>
      </c>
      <c r="F95" s="3" t="s">
        <v>241</v>
      </c>
    </row>
    <row r="96" spans="1:6" ht="32" customHeight="1">
      <c r="A96" s="3">
        <v>95</v>
      </c>
      <c r="B96" s="3" t="s">
        <v>35</v>
      </c>
      <c r="C96" s="3" t="s">
        <v>42</v>
      </c>
      <c r="D96" s="3" t="s">
        <v>58</v>
      </c>
      <c r="E96" s="4" t="s">
        <v>212</v>
      </c>
      <c r="F96" s="3" t="s">
        <v>243</v>
      </c>
    </row>
    <row r="97" spans="1:6" ht="32" customHeight="1">
      <c r="A97" s="3">
        <v>96</v>
      </c>
      <c r="B97" s="3" t="s">
        <v>9</v>
      </c>
      <c r="C97" s="3" t="s">
        <v>10</v>
      </c>
      <c r="D97" s="3" t="s">
        <v>66</v>
      </c>
      <c r="E97" s="4" t="s">
        <v>245</v>
      </c>
      <c r="F97" s="3" t="s">
        <v>246</v>
      </c>
    </row>
    <row r="98" spans="1:6" ht="32" customHeight="1">
      <c r="A98" s="3">
        <v>97</v>
      </c>
      <c r="B98" s="3" t="s">
        <v>9</v>
      </c>
      <c r="C98" s="3" t="s">
        <v>10</v>
      </c>
      <c r="D98" s="3" t="s">
        <v>11</v>
      </c>
      <c r="E98" s="4" t="s">
        <v>245</v>
      </c>
      <c r="F98" s="3" t="s">
        <v>250</v>
      </c>
    </row>
    <row r="99" spans="1:6" ht="32" customHeight="1">
      <c r="A99" s="3">
        <v>98</v>
      </c>
      <c r="B99" s="3" t="s">
        <v>35</v>
      </c>
      <c r="C99" s="3" t="s">
        <v>10</v>
      </c>
      <c r="D99" s="3" t="s">
        <v>17</v>
      </c>
      <c r="E99" s="4" t="s">
        <v>245</v>
      </c>
      <c r="F99" s="3" t="s">
        <v>252</v>
      </c>
    </row>
    <row r="100" spans="1:6" ht="32" customHeight="1">
      <c r="A100" s="3">
        <v>99</v>
      </c>
      <c r="B100" s="3" t="s">
        <v>9</v>
      </c>
      <c r="C100" s="3" t="s">
        <v>42</v>
      </c>
      <c r="D100" s="3" t="s">
        <v>46</v>
      </c>
      <c r="E100" s="4" t="s">
        <v>245</v>
      </c>
      <c r="F100" s="3" t="s">
        <v>254</v>
      </c>
    </row>
    <row r="101" spans="1:6" ht="32" customHeight="1">
      <c r="A101" s="3">
        <v>100</v>
      </c>
      <c r="B101" s="3" t="s">
        <v>9</v>
      </c>
      <c r="C101" s="3" t="s">
        <v>42</v>
      </c>
      <c r="D101" s="3" t="s">
        <v>43</v>
      </c>
      <c r="E101" s="4" t="s">
        <v>245</v>
      </c>
      <c r="F101" s="3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9"/>
  <sheetViews>
    <sheetView tabSelected="1" workbookViewId="0">
      <pane ySplit="14" topLeftCell="A16" activePane="bottomLeft" state="frozen"/>
      <selection pane="bottomLeft" activeCell="N32" sqref="N32"/>
    </sheetView>
  </sheetViews>
  <sheetFormatPr baseColWidth="10" defaultColWidth="8.83203125" defaultRowHeight="14"/>
  <cols>
    <col min="1" max="1" width="42" customWidth="1"/>
    <col min="2" max="2" width="13.6640625" customWidth="1"/>
    <col min="3" max="3" width="11.33203125" customWidth="1"/>
    <col min="4" max="4" width="11.6640625" customWidth="1"/>
    <col min="5" max="5" width="10" customWidth="1"/>
    <col min="6" max="7" width="11" customWidth="1"/>
    <col min="8" max="8" width="12" customWidth="1"/>
    <col min="9" max="9" width="10" customWidth="1"/>
    <col min="10" max="10" width="15" customWidth="1"/>
    <col min="11" max="11" width="13" customWidth="1"/>
    <col min="13" max="13" width="9.6640625" bestFit="1" customWidth="1"/>
  </cols>
  <sheetData>
    <row r="1" spans="1:13" ht="18">
      <c r="A1" s="8" t="s">
        <v>423</v>
      </c>
    </row>
    <row r="2" spans="1:13">
      <c r="A2" s="9" t="s">
        <v>461</v>
      </c>
    </row>
    <row r="4" spans="1:13">
      <c r="A4" s="10" t="s">
        <v>424</v>
      </c>
      <c r="D4" s="10" t="s">
        <v>425</v>
      </c>
    </row>
    <row r="5" spans="1:13">
      <c r="A5" s="11" t="s">
        <v>426</v>
      </c>
      <c r="B5" s="12">
        <f>COUNTA('Eval Dataset'!A2:A101)</f>
        <v>100</v>
      </c>
      <c r="D5" s="11" t="s">
        <v>427</v>
      </c>
      <c r="E5" s="13">
        <f>IFERROR(AVERAGE(Results!$K$2:$K$101),"")</f>
        <v>4.0979999999999999</v>
      </c>
    </row>
    <row r="6" spans="1:13">
      <c r="A6" s="11" t="s">
        <v>428</v>
      </c>
      <c r="B6" s="12">
        <f>COUNT(Results!$R$2:$R$101)</f>
        <v>100</v>
      </c>
      <c r="D6" s="11" t="s">
        <v>429</v>
      </c>
      <c r="E6" s="13">
        <f>IFERROR(AVERAGE(Results!$L$2:$L$101),"")</f>
        <v>3.6779999999999999</v>
      </c>
    </row>
    <row r="7" spans="1:13">
      <c r="A7" s="11" t="s">
        <v>430</v>
      </c>
      <c r="B7" s="13">
        <f>IFERROR(AVERAGE(Results!$R$2:$R$101),"")</f>
        <v>2.9899000000000013</v>
      </c>
      <c r="D7" s="11" t="s">
        <v>431</v>
      </c>
      <c r="E7" s="13">
        <f>IFERROR(AVERAGE(Results!$M$2:$M$101),"")</f>
        <v>2.234</v>
      </c>
    </row>
    <row r="8" spans="1:13">
      <c r="A8" s="11" t="s">
        <v>432</v>
      </c>
      <c r="B8" s="12">
        <f>COUNTIF(Results!$P$2:$P$101,"Да")</f>
        <v>27</v>
      </c>
      <c r="D8" s="11" t="s">
        <v>433</v>
      </c>
      <c r="E8" s="13">
        <f>IFERROR(AVERAGE(Results!$N$2:$N$101),"")</f>
        <v>3.2285714285714286</v>
      </c>
    </row>
    <row r="9" spans="1:13">
      <c r="A9" s="11" t="s">
        <v>434</v>
      </c>
      <c r="B9" s="14">
        <f>IF(B6=0,"",B8/B6)</f>
        <v>0.27</v>
      </c>
      <c r="D9" s="11" t="s">
        <v>435</v>
      </c>
      <c r="E9" s="13">
        <f>IFERROR(AVERAGE(Results!$O$2:$O$101),"")</f>
        <v>4.47</v>
      </c>
    </row>
    <row r="10" spans="1:13">
      <c r="A10" s="11" t="s">
        <v>436</v>
      </c>
      <c r="B10" s="12">
        <f>COUNTIF(Results!$P$2:$P$101,"Нет")</f>
        <v>24</v>
      </c>
      <c r="D10" s="11" t="s">
        <v>437</v>
      </c>
      <c r="E10" s="13">
        <f>IFERROR(AVERAGE(Results!$R$2:$R$101),"")</f>
        <v>2.9899000000000013</v>
      </c>
    </row>
    <row r="13" spans="1:13">
      <c r="A13" s="10" t="s">
        <v>438</v>
      </c>
    </row>
    <row r="14" spans="1:13" ht="46">
      <c r="A14" s="19" t="s">
        <v>439</v>
      </c>
      <c r="B14" s="19" t="s">
        <v>440</v>
      </c>
      <c r="C14" s="19" t="s">
        <v>441</v>
      </c>
      <c r="D14" s="21" t="s">
        <v>442</v>
      </c>
      <c r="E14" s="19" t="s">
        <v>443</v>
      </c>
      <c r="F14" s="19" t="s">
        <v>429</v>
      </c>
      <c r="G14" s="19" t="s">
        <v>431</v>
      </c>
      <c r="H14" s="19" t="s">
        <v>444</v>
      </c>
      <c r="I14" s="19" t="s">
        <v>435</v>
      </c>
      <c r="J14" s="19" t="s">
        <v>460</v>
      </c>
      <c r="K14" s="19" t="s">
        <v>446</v>
      </c>
      <c r="M14" s="26" t="s">
        <v>463</v>
      </c>
    </row>
    <row r="15" spans="1:13">
      <c r="A15" s="11" t="s">
        <v>12</v>
      </c>
      <c r="B15" s="12">
        <f>COUNTIF('Eval Dataset'!$E$2:$E$101,$A15)</f>
        <v>15</v>
      </c>
      <c r="C15" s="12">
        <f>COUNTIFS(Results!$E$2:$E$101,$A15,Results!$R$2:$R$101,"&gt;0")</f>
        <v>15</v>
      </c>
      <c r="D15" s="22">
        <f>IFERROR(SUMIFS(Results!$R$2:$R$101,Results!$E$2:$E$101,$A15)/COUNTIFS(Results!$E$2:$E$101,$A15,Results!$R$2:$R$101,"&gt;0"),"")</f>
        <v>2.7826666666666671</v>
      </c>
      <c r="E15" s="13">
        <f>IFERROR(SUMIFS(Results!$K$2:$K$101,Results!$E$2:$E$101,$A15)/COUNTIFS(Results!$E$2:$E$101,$A15,Results!$K$2:$K$101,"&gt;0"),"")</f>
        <v>3.6533333333333333</v>
      </c>
      <c r="F15" s="13">
        <f>IFERROR(SUMIFS(Results!$L$2:$L$101,Results!$E$2:$E$101,$A15)/COUNTIFS(Results!$E$2:$E$101,$A15,Results!$L$2:$L$101,"&gt;0"),"")</f>
        <v>3.0533333333333332</v>
      </c>
      <c r="G15" s="13">
        <f>IFERROR(SUMIFS(Results!$M$2:$M$101,Results!$E$2:$E$101,$A15)/COUNTIFS(Results!$E$2:$E$101,$A15,Results!$M$2:$M$101,"&gt;0"),"")</f>
        <v>1.3599999999999999</v>
      </c>
      <c r="H15" s="13" t="str">
        <f>IFERROR(SUMIFS(Results!$N$2:$N$101,Results!$E$2:$E$101,$A15)/COUNTIFS(Results!$E$2:$E$101,$A15,Results!$N$2:$N$101,"&gt;0"),"")</f>
        <v/>
      </c>
      <c r="I15" s="13">
        <f>IFERROR(SUMIFS(Results!$O$2:$O$101,Results!$E$2:$E$101,$A15)/COUNTIFS(Results!$E$2:$E$101,$A15,Results!$O$2:$O$101,"&gt;0"),"")</f>
        <v>4.2</v>
      </c>
      <c r="J15" s="12">
        <f>COUNTIFS(Results!$E$2:$E$101,$A15,Results!$P$2:$P$101,"Да")</f>
        <v>0</v>
      </c>
      <c r="K15" s="14" t="str">
        <f>IF(COUNTIFS(Results!$E$2:$E$101,$A15,Results!$P$2:$P$101,"&lt;&gt;")=0,"",J15/COUNTIFS(Results!$E$2:$E$101,$A15,Results!$P$2:$P$101,"&lt;&gt;"))</f>
        <v/>
      </c>
      <c r="M15" s="27">
        <f>D15/5*100</f>
        <v>55.653333333333343</v>
      </c>
    </row>
    <row r="16" spans="1:13">
      <c r="A16" s="11" t="s">
        <v>61</v>
      </c>
      <c r="B16" s="12">
        <f>COUNTIF('Eval Dataset'!$E$2:$E$101,$A16)</f>
        <v>15</v>
      </c>
      <c r="C16" s="12">
        <f>COUNTIFS(Results!$E$2:$E$101,$A16,Results!$R$2:$R$101,"&gt;0")</f>
        <v>15</v>
      </c>
      <c r="D16" s="22">
        <f>IFERROR(SUMIFS(Results!$R$2:$R$101,Results!$E$2:$E$101,$A16)/COUNTIFS(Results!$E$2:$E$101,$A16,Results!$R$2:$R$101,"&gt;0"),"")</f>
        <v>3.203333333333334</v>
      </c>
      <c r="E16" s="13">
        <f>IFERROR(SUMIFS(Results!$K$2:$K$101,Results!$E$2:$E$101,$A16)/COUNTIFS(Results!$E$2:$E$101,$A16,Results!$K$2:$K$101,"&gt;0"),"")</f>
        <v>4.2666666666666666</v>
      </c>
      <c r="F16" s="13">
        <f>IFERROR(SUMIFS(Results!$L$2:$L$101,Results!$E$2:$E$101,$A16)/COUNTIFS(Results!$E$2:$E$101,$A16,Results!$L$2:$L$101,"&gt;0"),"")</f>
        <v>3.4666666666666668</v>
      </c>
      <c r="G16" s="13">
        <f>IFERROR(SUMIFS(Results!$M$2:$M$101,Results!$E$2:$E$101,$A16)/COUNTIFS(Results!$E$2:$E$101,$A16,Results!$M$2:$M$101,"&gt;0"),"")</f>
        <v>1.6</v>
      </c>
      <c r="H16" s="13" t="str">
        <f>IFERROR(SUMIFS(Results!$N$2:$N$101,Results!$E$2:$E$101,$A16)/COUNTIFS(Results!$E$2:$E$101,$A16,Results!$N$2:$N$101,"&gt;0"),"")</f>
        <v/>
      </c>
      <c r="I16" s="13">
        <f>IFERROR(SUMIFS(Results!$O$2:$O$101,Results!$E$2:$E$101,$A16)/COUNTIFS(Results!$E$2:$E$101,$A16,Results!$O$2:$O$101,"&gt;0"),"")</f>
        <v>4.7333333333333334</v>
      </c>
      <c r="J16" s="12">
        <f>COUNTIFS(Results!$E$2:$E$101,$A16,Results!$P$2:$P$101,"Да")</f>
        <v>0</v>
      </c>
      <c r="K16" s="14" t="str">
        <f>IF(COUNTIFS(Results!$E$2:$E$101,$A16,Results!$P$2:$P$101,"&lt;&gt;")=0,"",J16/COUNTIFS(Results!$E$2:$E$101,$A16,Results!$P$2:$P$101,"&lt;&gt;"))</f>
        <v/>
      </c>
      <c r="M16" s="27">
        <f t="shared" ref="M16:M22" si="0">D16/5*100</f>
        <v>64.066666666666677</v>
      </c>
    </row>
    <row r="17" spans="1:13">
      <c r="A17" s="11" t="s">
        <v>99</v>
      </c>
      <c r="B17" s="12">
        <f>COUNTIF('Eval Dataset'!$E$2:$E$101,$A17)</f>
        <v>15</v>
      </c>
      <c r="C17" s="12">
        <f>COUNTIFS(Results!$E$2:$E$101,$A17,Results!$R$2:$R$101,"&gt;0")</f>
        <v>15</v>
      </c>
      <c r="D17" s="22">
        <f>IFERROR(SUMIFS(Results!$R$2:$R$101,Results!$E$2:$E$101,$A17)/COUNTIFS(Results!$E$2:$E$101,$A17,Results!$R$2:$R$101,"&gt;0"),"")</f>
        <v>2.9566666666666666</v>
      </c>
      <c r="E17" s="13">
        <f>IFERROR(SUMIFS(Results!$K$2:$K$101,Results!$E$2:$E$101,$A17)/COUNTIFS(Results!$E$2:$E$101,$A17,Results!$K$2:$K$101,"&gt;0"),"")</f>
        <v>3.2666666666666666</v>
      </c>
      <c r="F17" s="13">
        <f>IFERROR(SUMIFS(Results!$L$2:$L$101,Results!$E$2:$E$101,$A17)/COUNTIFS(Results!$E$2:$E$101,$A17,Results!$L$2:$L$101,"&gt;0"),"")</f>
        <v>2.9333333333333331</v>
      </c>
      <c r="G17" s="13">
        <f>IFERROR(SUMIFS(Results!$M$2:$M$101,Results!$E$2:$E$101,$A17)/COUNTIFS(Results!$E$2:$E$101,$A17,Results!$M$2:$M$101,"&gt;0"),"")</f>
        <v>1.9333333333333333</v>
      </c>
      <c r="H17" s="13" t="str">
        <f>IFERROR(SUMIFS(Results!$N$2:$N$101,Results!$E$2:$E$101,$A17)/COUNTIFS(Results!$E$2:$E$101,$A17,Results!$N$2:$N$101,"&gt;0"),"")</f>
        <v/>
      </c>
      <c r="I17" s="13">
        <f>IFERROR(SUMIFS(Results!$O$2:$O$101,Results!$E$2:$E$101,$A17)/COUNTIFS(Results!$E$2:$E$101,$A17,Results!$O$2:$O$101,"&gt;0"),"")</f>
        <v>4.8666666666666663</v>
      </c>
      <c r="J17" s="12">
        <f>COUNTIFS(Results!$E$2:$E$101,$A17,Results!$P$2:$P$101,"Да")</f>
        <v>0</v>
      </c>
      <c r="K17" s="14" t="str">
        <f>IF(COUNTIFS(Results!$E$2:$E$101,$A17,Results!$P$2:$P$101,"&lt;&gt;")=0,"",J17/COUNTIFS(Results!$E$2:$E$101,$A17,Results!$P$2:$P$101,"&lt;&gt;"))</f>
        <v/>
      </c>
      <c r="M17" s="27">
        <f t="shared" si="0"/>
        <v>59.133333333333326</v>
      </c>
    </row>
    <row r="18" spans="1:13">
      <c r="A18" s="11" t="s">
        <v>133</v>
      </c>
      <c r="B18" s="12">
        <f>COUNTIF('Eval Dataset'!$E$2:$E$101,$A18)</f>
        <v>15</v>
      </c>
      <c r="C18" s="12">
        <f>COUNTIFS(Results!$E$2:$E$101,$A18,Results!$R$2:$R$101,"&gt;0")</f>
        <v>15</v>
      </c>
      <c r="D18" s="22">
        <f>IFERROR(SUMIFS(Results!$R$2:$R$101,Results!$E$2:$E$101,$A18)/COUNTIFS(Results!$E$2:$E$101,$A18,Results!$R$2:$R$101,"&gt;0"),"")</f>
        <v>3.17</v>
      </c>
      <c r="E18" s="13">
        <f>IFERROR(SUMIFS(Results!$K$2:$K$101,Results!$E$2:$E$101,$A18)/COUNTIFS(Results!$E$2:$E$101,$A18,Results!$K$2:$K$101,"&gt;0"),"")</f>
        <v>4.8666666666666663</v>
      </c>
      <c r="F18" s="13">
        <f>IFERROR(SUMIFS(Results!$L$2:$L$101,Results!$E$2:$E$101,$A18)/COUNTIFS(Results!$E$2:$E$101,$A18,Results!$L$2:$L$101,"&gt;0"),"")</f>
        <v>3.8666666666666667</v>
      </c>
      <c r="G18" s="13">
        <f>IFERROR(SUMIFS(Results!$M$2:$M$101,Results!$E$2:$E$101,$A18)/COUNTIFS(Results!$E$2:$E$101,$A18,Results!$M$2:$M$101,"&gt;0"),"")</f>
        <v>2.6</v>
      </c>
      <c r="H18" s="13" t="str">
        <f>IFERROR(SUMIFS(Results!$N$2:$N$101,Results!$E$2:$E$101,$A18)/COUNTIFS(Results!$E$2:$E$101,$A18,Results!$N$2:$N$101,"&gt;0"),"")</f>
        <v/>
      </c>
      <c r="I18" s="13">
        <f>IFERROR(SUMIFS(Results!$O$2:$O$101,Results!$E$2:$E$101,$A18)/COUNTIFS(Results!$E$2:$E$101,$A18,Results!$O$2:$O$101,"&gt;0"),"")</f>
        <v>4.2</v>
      </c>
      <c r="J18" s="12">
        <f>COUNTIFS(Results!$E$2:$E$101,$A18,Results!$P$2:$P$101,"Да")</f>
        <v>6</v>
      </c>
      <c r="K18" s="14">
        <f>IF(COUNTIFS(Results!$E$2:$E$101,$A18,Results!$P$2:$P$101,"&lt;&gt;")=0,"",J18/COUNTIFS(Results!$E$2:$E$101,$A18,Results!$P$2:$P$101,"&lt;&gt;"))</f>
        <v>0.54545454545454541</v>
      </c>
      <c r="M18" s="27">
        <f t="shared" si="0"/>
        <v>63.4</v>
      </c>
    </row>
    <row r="19" spans="1:13">
      <c r="A19" s="11" t="s">
        <v>168</v>
      </c>
      <c r="B19" s="12">
        <f>COUNTIF('Eval Dataset'!$E$2:$E$101,$A19)</f>
        <v>20</v>
      </c>
      <c r="C19" s="12">
        <f>COUNTIFS(Results!$E$2:$E$101,$A19,Results!$R$2:$R$101,"&gt;0")</f>
        <v>20</v>
      </c>
      <c r="D19" s="22">
        <f>IFERROR(SUMIFS(Results!$R$2:$R$101,Results!$E$2:$E$101,$A19)/COUNTIFS(Results!$E$2:$E$101,$A19,Results!$R$2:$R$101,"&gt;0"),"")</f>
        <v>2.9375</v>
      </c>
      <c r="E19" s="13">
        <f>IFERROR(SUMIFS(Results!$K$2:$K$101,Results!$E$2:$E$101,$A19)/COUNTIFS(Results!$E$2:$E$101,$A19,Results!$K$2:$K$101,"&gt;0"),"")</f>
        <v>4.55</v>
      </c>
      <c r="F19" s="13">
        <f>IFERROR(SUMIFS(Results!$L$2:$L$101,Results!$E$2:$E$101,$A19)/COUNTIFS(Results!$E$2:$E$101,$A19,Results!$L$2:$L$101,"&gt;0"),"")</f>
        <v>4.3499999999999996</v>
      </c>
      <c r="G19" s="13">
        <f>IFERROR(SUMIFS(Results!$M$2:$M$101,Results!$E$2:$E$101,$A19)/COUNTIFS(Results!$E$2:$E$101,$A19,Results!$M$2:$M$101,"&gt;0"),"")</f>
        <v>2.9</v>
      </c>
      <c r="H19" s="13">
        <f>IFERROR(SUMIFS(Results!$N$2:$N$101,Results!$E$2:$E$101,$A19)/COUNTIFS(Results!$E$2:$E$101,$A19,Results!$N$2:$N$101,"&gt;0"),"")</f>
        <v>3.35</v>
      </c>
      <c r="I19" s="13">
        <f>IFERROR(SUMIFS(Results!$O$2:$O$101,Results!$E$2:$E$101,$A19)/COUNTIFS(Results!$E$2:$E$101,$A19,Results!$O$2:$O$101,"&gt;0"),"")</f>
        <v>4.5999999999999996</v>
      </c>
      <c r="J19" s="12">
        <f>COUNTIFS(Results!$E$2:$E$101,$A19,Results!$P$2:$P$101,"Да")</f>
        <v>11</v>
      </c>
      <c r="K19" s="14">
        <f>IF(COUNTIFS(Results!$E$2:$E$101,$A19,Results!$P$2:$P$101,"&lt;&gt;")=0,"",J19/COUNTIFS(Results!$E$2:$E$101,$A19,Results!$P$2:$P$101,"&lt;&gt;"))</f>
        <v>0.55000000000000004</v>
      </c>
      <c r="M19" s="27">
        <f t="shared" si="0"/>
        <v>58.75</v>
      </c>
    </row>
    <row r="20" spans="1:13">
      <c r="A20" s="11" t="s">
        <v>212</v>
      </c>
      <c r="B20" s="12">
        <f>COUNTIF('Eval Dataset'!$E$2:$E$101,$A20)</f>
        <v>15</v>
      </c>
      <c r="C20" s="12">
        <f>COUNTIFS(Results!$E$2:$E$101,$A20,Results!$R$2:$R$101,"&gt;0")</f>
        <v>15</v>
      </c>
      <c r="D20" s="22">
        <f>IFERROR(SUMIFS(Results!$R$2:$R$101,Results!$E$2:$E$101,$A20)/COUNTIFS(Results!$E$2:$E$101,$A20,Results!$R$2:$R$101,"&gt;0"),"")</f>
        <v>2.9433333333333329</v>
      </c>
      <c r="E20" s="13">
        <f>IFERROR(SUMIFS(Results!$K$2:$K$101,Results!$E$2:$E$101,$A20)/COUNTIFS(Results!$E$2:$E$101,$A20,Results!$K$2:$K$101,"&gt;0"),"")</f>
        <v>4.4000000000000004</v>
      </c>
      <c r="F20" s="13">
        <f>IFERROR(SUMIFS(Results!$L$2:$L$101,Results!$E$2:$E$101,$A20)/COUNTIFS(Results!$E$2:$E$101,$A20,Results!$L$2:$L$101,"&gt;0"),"")</f>
        <v>4.2</v>
      </c>
      <c r="G20" s="13">
        <f>IFERROR(SUMIFS(Results!$M$2:$M$101,Results!$E$2:$E$101,$A20)/COUNTIFS(Results!$E$2:$E$101,$A20,Results!$M$2:$M$101,"&gt;0"),"")</f>
        <v>2.6</v>
      </c>
      <c r="H20" s="13">
        <f>IFERROR(SUMIFS(Results!$N$2:$N$101,Results!$E$2:$E$101,$A20)/COUNTIFS(Results!$E$2:$E$101,$A20,Results!$N$2:$N$101,"&gt;0"),"")</f>
        <v>3.0666666666666669</v>
      </c>
      <c r="I20" s="13">
        <f>IFERROR(SUMIFS(Results!$O$2:$O$101,Results!$E$2:$E$101,$A20)/COUNTIFS(Results!$E$2:$E$101,$A20,Results!$O$2:$O$101,"&gt;0"),"")</f>
        <v>4.2</v>
      </c>
      <c r="J20" s="12">
        <f>COUNTIFS(Results!$E$2:$E$101,$A20,Results!$P$2:$P$101,"Да")</f>
        <v>7</v>
      </c>
      <c r="K20" s="14">
        <f>IF(COUNTIFS(Results!$E$2:$E$101,$A20,Results!$P$2:$P$101,"&lt;&gt;")=0,"",J20/COUNTIFS(Results!$E$2:$E$101,$A20,Results!$P$2:$P$101,"&lt;&gt;"))</f>
        <v>0.46666666666666667</v>
      </c>
      <c r="M20" s="27">
        <f t="shared" si="0"/>
        <v>58.866666666666653</v>
      </c>
    </row>
    <row r="21" spans="1:13">
      <c r="A21" s="11" t="s">
        <v>245</v>
      </c>
      <c r="B21" s="12">
        <f>COUNTIF('Eval Dataset'!$E$2:$E$101,$A21)</f>
        <v>5</v>
      </c>
      <c r="C21" s="12">
        <f>COUNTIFS(Results!$E$2:$E$101,$A21,Results!$R$2:$R$101,"&gt;0")</f>
        <v>5</v>
      </c>
      <c r="D21" s="22">
        <f>IFERROR(SUMIFS(Results!$R$2:$R$101,Results!$E$2:$E$101,$A21)/COUNTIFS(Results!$E$2:$E$101,$A21,Results!$R$2:$R$101,"&gt;0"),"")</f>
        <v>2.88</v>
      </c>
      <c r="E21" s="13">
        <f>IFERROR(SUMIFS(Results!$K$2:$K$101,Results!$E$2:$E$101,$A21)/COUNTIFS(Results!$E$2:$E$101,$A21,Results!$K$2:$K$101,"&gt;0"),"")</f>
        <v>2.4</v>
      </c>
      <c r="F21" s="13">
        <f>IFERROR(SUMIFS(Results!$L$2:$L$101,Results!$E$2:$E$101,$A21)/COUNTIFS(Results!$E$2:$E$101,$A21,Results!$L$2:$L$101,"&gt;0"),"")</f>
        <v>3.6</v>
      </c>
      <c r="G21" s="13">
        <f>IFERROR(SUMIFS(Results!$M$2:$M$101,Results!$E$2:$E$101,$A21)/COUNTIFS(Results!$E$2:$E$101,$A21,Results!$M$2:$M$101,"&gt;0"),"")</f>
        <v>2.8</v>
      </c>
      <c r="H21" s="13" t="str">
        <f>IFERROR(SUMIFS(Results!$N$2:$N$101,Results!$E$2:$E$101,$A21)/COUNTIFS(Results!$E$2:$E$101,$A21,Results!$N$2:$N$101,"&gt;0"),"")</f>
        <v/>
      </c>
      <c r="I21" s="13">
        <f>IFERROR(SUMIFS(Results!$O$2:$O$101,Results!$E$2:$E$101,$A21)/COUNTIFS(Results!$E$2:$E$101,$A21,Results!$O$2:$O$101,"&gt;0"),"")</f>
        <v>4.4000000000000004</v>
      </c>
      <c r="J21" s="12">
        <f>COUNTIFS(Results!$E$2:$E$101,$A21,Results!$P$2:$P$101,"Да")</f>
        <v>3</v>
      </c>
      <c r="K21" s="14">
        <f>IF(COUNTIFS(Results!$E$2:$E$101,$A21,Results!$P$2:$P$101,"&lt;&gt;")=0,"",J21/COUNTIFS(Results!$E$2:$E$101,$A21,Results!$P$2:$P$101,"&lt;&gt;"))</f>
        <v>0.6</v>
      </c>
      <c r="M21" s="27">
        <f t="shared" si="0"/>
        <v>57.599999999999994</v>
      </c>
    </row>
    <row r="22" spans="1:13">
      <c r="A22" s="10" t="s">
        <v>447</v>
      </c>
      <c r="B22" s="15">
        <f>SUM(B15:B21)</f>
        <v>100</v>
      </c>
      <c r="C22" s="15">
        <f>SUM(C15:C21)</f>
        <v>100</v>
      </c>
      <c r="D22" s="23">
        <f>IFERROR(AVERAGE(Results!$R$2:$R$101),"")</f>
        <v>2.9899000000000013</v>
      </c>
      <c r="E22" s="16">
        <f>IFERROR(AVERAGE(Results!$K$2:$K$101),"")</f>
        <v>4.0979999999999999</v>
      </c>
      <c r="F22" s="16">
        <f>IFERROR(AVERAGE(Results!$L$2:$L$101),"")</f>
        <v>3.6779999999999999</v>
      </c>
      <c r="G22" s="16">
        <f>IFERROR(AVERAGE(Results!$M$2:$M$101),"")</f>
        <v>2.234</v>
      </c>
      <c r="H22" s="16">
        <f>IFERROR(AVERAGE(Results!$N$2:$N$101),"")</f>
        <v>3.2285714285714286</v>
      </c>
      <c r="I22" s="16">
        <f>IFERROR(AVERAGE(Results!$O$2:$O$101),"")</f>
        <v>4.47</v>
      </c>
      <c r="J22" s="15">
        <f>COUNTIF(Results!$P$2:$P$101,"Да")</f>
        <v>27</v>
      </c>
      <c r="K22" s="17">
        <f>IF(COUNTIF(Results!$P$2:$P$101,"&lt;&gt;")=0,"",J22/COUNTIF(Results!$P$2:$P$101,"&lt;&gt;"))</f>
        <v>0.52941176470588236</v>
      </c>
      <c r="M22" s="27">
        <f t="shared" si="0"/>
        <v>59.79800000000003</v>
      </c>
    </row>
    <row r="25" spans="1:13">
      <c r="A25" s="10" t="s">
        <v>448</v>
      </c>
    </row>
    <row r="26" spans="1:13">
      <c r="A26" s="20" t="s">
        <v>449</v>
      </c>
      <c r="B26" s="20" t="s">
        <v>440</v>
      </c>
      <c r="C26" s="20" t="s">
        <v>441</v>
      </c>
      <c r="D26" s="20" t="s">
        <v>442</v>
      </c>
      <c r="E26" s="20" t="s">
        <v>431</v>
      </c>
      <c r="F26" s="20" t="s">
        <v>445</v>
      </c>
    </row>
    <row r="27" spans="1:13">
      <c r="A27" s="11" t="s">
        <v>9</v>
      </c>
      <c r="B27" s="12">
        <f>COUNTIF('Eval Dataset'!$B$2:$B$101,$A27)</f>
        <v>70</v>
      </c>
      <c r="C27" s="12">
        <f>COUNTIFS(Results!$B$2:$B$101,$A27,Results!$R$2:$R$101,"&gt;0")</f>
        <v>70</v>
      </c>
      <c r="D27" s="13">
        <f>IFERROR(SUMIFS(Results!$R$2:$R$101,Results!$B$2:$B$101,$A27)/COUNTIFS(Results!$B$2:$B$101,$A27,Results!$R$2:$R$101,"&gt;0"),"")</f>
        <v>3.0912857142857151</v>
      </c>
      <c r="E27" s="13">
        <f>IFERROR(SUMIFS(Results!$M$2:$M$101,Results!$B$2:$B$101,$A27)/COUNTIFS(Results!$B$2:$B$101,$A27,Results!$M$2:$M$101,"&gt;0"),"")</f>
        <v>2.3200000000000003</v>
      </c>
      <c r="F27" s="12">
        <f>COUNTIFS(Results!$B$2:$B$101,$A27,Results!$P$2:$P$101,"Да")</f>
        <v>16</v>
      </c>
    </row>
    <row r="28" spans="1:13">
      <c r="A28" s="11" t="s">
        <v>35</v>
      </c>
      <c r="B28" s="12">
        <f>COUNTIF('Eval Dataset'!$B$2:$B$101,$A28)</f>
        <v>30</v>
      </c>
      <c r="C28" s="12">
        <f>COUNTIFS(Results!$B$2:$B$101,$A28,Results!$R$2:$R$101,"&gt;0")</f>
        <v>30</v>
      </c>
      <c r="D28" s="13">
        <f>IFERROR(SUMIFS(Results!$R$2:$R$101,Results!$B$2:$B$101,$A28)/COUNTIFS(Results!$B$2:$B$101,$A28,Results!$R$2:$R$101,"&gt;0"),"")</f>
        <v>2.7533333333333334</v>
      </c>
      <c r="E28" s="13">
        <f>IFERROR(SUMIFS(Results!$M$2:$M$101,Results!$B$2:$B$101,$A28)/COUNTIFS(Results!$B$2:$B$101,$A28,Results!$M$2:$M$101,"&gt;0"),"")</f>
        <v>2.0333333333333332</v>
      </c>
      <c r="F28" s="12">
        <f>COUNTIFS(Results!$B$2:$B$101,$A28,Results!$P$2:$P$101,"Да")</f>
        <v>11</v>
      </c>
    </row>
    <row r="31" spans="1:13">
      <c r="A31" s="10" t="s">
        <v>450</v>
      </c>
    </row>
    <row r="32" spans="1:13">
      <c r="A32" s="24" t="s">
        <v>451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1:11">
      <c r="A33" s="24" t="s">
        <v>464</v>
      </c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1:11">
      <c r="A34" s="24" t="s">
        <v>452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1:11">
      <c r="A35" s="24" t="s">
        <v>459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1:11">
      <c r="A36" s="24"/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1:11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1:11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1:11">
      <c r="A39" s="24"/>
      <c r="B39" s="25"/>
      <c r="C39" s="25"/>
      <c r="D39" s="25"/>
      <c r="E39" s="25"/>
      <c r="F39" s="25"/>
      <c r="G39" s="25"/>
      <c r="H39" s="25"/>
      <c r="I39" s="25"/>
      <c r="J39" s="25"/>
      <c r="K39" s="25"/>
    </row>
  </sheetData>
  <mergeCells count="8">
    <mergeCell ref="A32:K32"/>
    <mergeCell ref="A35:K35"/>
    <mergeCell ref="A39:K39"/>
    <mergeCell ref="A36:K36"/>
    <mergeCell ref="A33:K33"/>
    <mergeCell ref="A34:K34"/>
    <mergeCell ref="A38:K38"/>
    <mergeCell ref="A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Eval Dataset</vt:lpstr>
      <vt:lpstr>Results</vt:lpstr>
      <vt:lpstr>Pairwise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Милана Ганиева</cp:lastModifiedBy>
  <dcterms:created xsi:type="dcterms:W3CDTF">2026-07-28T10:04:33Z</dcterms:created>
  <dcterms:modified xsi:type="dcterms:W3CDTF">2026-08-05T10:06:11Z</dcterms:modified>
</cp:coreProperties>
</file>